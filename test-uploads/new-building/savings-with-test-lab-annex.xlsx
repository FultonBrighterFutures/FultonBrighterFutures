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Wh" sheetId="1" r:id="rId1"/>
    <sheet name="Elec Rates" sheetId="2" r:id="rId2"/>
    <sheet name="CS Rates" sheetId="3" r:id="rId3"/>
    <sheet name="Savings" sheetId="4" r:id="rId4"/>
    <sheet name="Graph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mmm\-yy;@"/>
    <numFmt numFmtId="165" formatCode="0.000"/>
    <numFmt numFmtId="166" formatCode="&quot;$&quot;#,##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0"/>
    <numFmt numFmtId="17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86"/>
  <sheetViews>
    <sheetView workbookViewId="0" rightToLeft="0"/>
  </sheetViews>
  <sheetData>
    <row r="1">
      <c r="A1" t="str">
        <v/>
      </c>
      <c r="B1" t="str">
        <v>Monthly Solar Production (kWh)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Test Lab Annex</v>
      </c>
      <c r="AS2" t="str">
        <v>Total kWh Produced</v>
      </c>
      <c r="AT2" t="str">
        <v>GRAND TOTAL</v>
      </c>
      <c r="AU2" t="str">
        <v>eGRID 2023 subregion SRSO CO2e non-baseload output emission rate (lb/MWh)*</v>
      </c>
      <c r="AV2" t="str">
        <v>CO2e savings (lbs)</v>
      </c>
      <c r="AW2" t="str">
        <v/>
      </c>
      <c r="AX2" t="str">
        <v/>
      </c>
      <c r="AY2" t="str">
        <v/>
      </c>
    </row>
    <row r="3">
      <c r="A3">
        <v>44287</v>
      </c>
      <c r="B3">
        <v>5381.5</v>
      </c>
      <c r="C3">
        <v>7949.4</v>
      </c>
      <c r="D3">
        <v>9227.4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>
        <v>22558.3</v>
      </c>
      <c r="AT3">
        <v>6268705.5</v>
      </c>
      <c r="AU3">
        <v>1392.345</v>
      </c>
      <c r="AV3">
        <v>8728200.759397501</v>
      </c>
      <c r="AW3" t="str">
        <v/>
      </c>
      <c r="AX3" t="str">
        <v/>
      </c>
      <c r="AY3" t="str">
        <v/>
      </c>
    </row>
    <row r="4">
      <c r="A4">
        <v>44317</v>
      </c>
      <c r="B4">
        <v>9979.5</v>
      </c>
      <c r="C4">
        <v>7421.6</v>
      </c>
      <c r="D4">
        <v>17443.5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>
        <v>34844.6</v>
      </c>
      <c r="AT4">
        <v>6754479</v>
      </c>
      <c r="AU4" t="str">
        <v>new contract annual production</v>
      </c>
      <c r="AV4">
        <v>9404565.063255</v>
      </c>
      <c r="AW4" t="str">
        <v/>
      </c>
      <c r="AX4" t="str">
        <v/>
      </c>
      <c r="AY4" t="str">
        <v/>
      </c>
    </row>
    <row r="5">
      <c r="A5">
        <v>44348</v>
      </c>
      <c r="B5">
        <v>8841.6</v>
      </c>
      <c r="C5">
        <v>13795</v>
      </c>
      <c r="D5">
        <v>15438.5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>
        <v>38075.1</v>
      </c>
      <c r="AT5">
        <v>7430351.6</v>
      </c>
      <c r="AU5" t="str">
        <v>new contract + old contract annual production</v>
      </c>
      <c r="AV5">
        <v>10345612.898502</v>
      </c>
      <c r="AW5" t="str">
        <v/>
      </c>
      <c r="AX5" t="str">
        <v/>
      </c>
      <c r="AY5" t="str">
        <v/>
      </c>
    </row>
    <row r="6">
      <c r="A6">
        <v>44378</v>
      </c>
      <c r="B6">
        <v>8958.4</v>
      </c>
      <c r="C6">
        <v>14853.5</v>
      </c>
      <c r="D6">
        <v>13481.3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>
        <v>37293.2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>
      <c r="A7">
        <v>44409</v>
      </c>
      <c r="B7">
        <v>8525.9</v>
      </c>
      <c r="C7">
        <v>14590.1</v>
      </c>
      <c r="D7">
        <v>16984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>
        <v>40100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>
      <c r="A8">
        <v>44440</v>
      </c>
      <c r="B8">
        <v>7550</v>
      </c>
      <c r="C8">
        <v>5768</v>
      </c>
      <c r="D8">
        <v>12955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>
        <v>26273</v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>
      <c r="A9">
        <v>44470</v>
      </c>
      <c r="B9">
        <v>5992</v>
      </c>
      <c r="C9">
        <v>10166</v>
      </c>
      <c r="D9">
        <v>10833</v>
      </c>
      <c r="E9">
        <v>8631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>
        <v>35622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>
      <c r="A10">
        <v>44501</v>
      </c>
      <c r="B10">
        <v>5976</v>
      </c>
      <c r="C10">
        <v>9536</v>
      </c>
      <c r="D10">
        <v>10383</v>
      </c>
      <c r="E10">
        <v>8448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>
        <v>34343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>
      <c r="A11">
        <v>44531</v>
      </c>
      <c r="B11">
        <v>3433</v>
      </c>
      <c r="C11">
        <v>5510</v>
      </c>
      <c r="D11">
        <v>5840</v>
      </c>
      <c r="E11">
        <v>4706</v>
      </c>
      <c r="F11">
        <v>1895</v>
      </c>
      <c r="G11">
        <v>1019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>
        <v>22403</v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>
      <c r="A12">
        <v>44562</v>
      </c>
      <c r="B12">
        <v>4838</v>
      </c>
      <c r="C12">
        <v>8237</v>
      </c>
      <c r="D12">
        <v>8604</v>
      </c>
      <c r="E12">
        <v>6926</v>
      </c>
      <c r="F12">
        <v>2778</v>
      </c>
      <c r="G12">
        <v>1516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>
        <v>32899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>
      <c r="A13">
        <v>44593</v>
      </c>
      <c r="B13">
        <v>5841</v>
      </c>
      <c r="C13">
        <v>9450</v>
      </c>
      <c r="D13">
        <v>9516</v>
      </c>
      <c r="E13">
        <v>7862</v>
      </c>
      <c r="F13">
        <v>3194</v>
      </c>
      <c r="G13">
        <v>1693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>
        <v>37556</v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>
      <c r="A14">
        <v>44621</v>
      </c>
      <c r="B14">
        <v>8254</v>
      </c>
      <c r="C14">
        <v>13793</v>
      </c>
      <c r="D14">
        <v>13869</v>
      </c>
      <c r="E14">
        <v>11038</v>
      </c>
      <c r="F14">
        <v>4515</v>
      </c>
      <c r="G14">
        <v>2394</v>
      </c>
      <c r="H14">
        <v>7131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>
        <v>60994</v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>
      <c r="A15">
        <v>44652</v>
      </c>
      <c r="B15">
        <v>8739</v>
      </c>
      <c r="C15">
        <v>13528</v>
      </c>
      <c r="D15">
        <v>14933</v>
      </c>
      <c r="E15">
        <v>12025</v>
      </c>
      <c r="F15">
        <v>4886</v>
      </c>
      <c r="G15">
        <v>2518</v>
      </c>
      <c r="H15">
        <v>17360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>
        <v>73989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>
      <c r="A16">
        <v>44682</v>
      </c>
      <c r="B16">
        <v>9591</v>
      </c>
      <c r="C16">
        <v>16181</v>
      </c>
      <c r="D16">
        <v>16227</v>
      </c>
      <c r="E16">
        <v>13081</v>
      </c>
      <c r="F16">
        <v>5558</v>
      </c>
      <c r="G16">
        <v>2746</v>
      </c>
      <c r="H16">
        <v>18826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>
        <v>82210</v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>
      <c r="A17">
        <v>44713</v>
      </c>
      <c r="B17">
        <v>9640</v>
      </c>
      <c r="C17">
        <v>16489</v>
      </c>
      <c r="D17">
        <v>16606</v>
      </c>
      <c r="E17">
        <v>13004</v>
      </c>
      <c r="F17">
        <v>5671</v>
      </c>
      <c r="G17">
        <v>2765</v>
      </c>
      <c r="H17">
        <v>18856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>
        <v>83031</v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>
      <c r="A18">
        <v>44743</v>
      </c>
      <c r="B18">
        <v>9142.2</v>
      </c>
      <c r="C18">
        <v>13914.4</v>
      </c>
      <c r="D18">
        <v>15278.1</v>
      </c>
      <c r="E18">
        <v>12245.5</v>
      </c>
      <c r="F18">
        <v>5167.4</v>
      </c>
      <c r="G18">
        <v>2611.9</v>
      </c>
      <c r="H18">
        <v>17138.2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>
        <v>75497.7</v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>
      <c r="A19">
        <v>44774</v>
      </c>
      <c r="B19">
        <v>7930.2</v>
      </c>
      <c r="C19">
        <v>12070.1</v>
      </c>
      <c r="D19">
        <v>13425.4</v>
      </c>
      <c r="E19">
        <v>11128.6</v>
      </c>
      <c r="F19">
        <v>4523.3</v>
      </c>
      <c r="G19">
        <v>2238.9</v>
      </c>
      <c r="H19">
        <v>14986.6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>
        <v>66303.1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>
      <c r="A20">
        <v>44805</v>
      </c>
      <c r="B20">
        <v>8079</v>
      </c>
      <c r="C20">
        <v>11923.2</v>
      </c>
      <c r="D20">
        <v>13572.8</v>
      </c>
      <c r="E20">
        <v>11063.9</v>
      </c>
      <c r="F20">
        <v>4483.1</v>
      </c>
      <c r="G20">
        <v>2237.3</v>
      </c>
      <c r="H20">
        <v>15815.8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>
        <v>67175.1</v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>
      <c r="A21">
        <v>44835</v>
      </c>
      <c r="B21">
        <v>7320.8</v>
      </c>
      <c r="C21">
        <v>12183</v>
      </c>
      <c r="D21">
        <v>12607.2</v>
      </c>
      <c r="E21">
        <v>10220</v>
      </c>
      <c r="F21">
        <v>4092.4</v>
      </c>
      <c r="G21">
        <v>2081.5</v>
      </c>
      <c r="H21">
        <v>15067.1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>
        <v>63572</v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>
      <c r="A22">
        <v>44866</v>
      </c>
      <c r="B22">
        <v>4758.8</v>
      </c>
      <c r="C22">
        <v>8073.9</v>
      </c>
      <c r="D22">
        <v>8333</v>
      </c>
      <c r="E22">
        <v>6727.7</v>
      </c>
      <c r="F22">
        <v>2715</v>
      </c>
      <c r="G22">
        <v>1429.3</v>
      </c>
      <c r="H22">
        <v>7459.6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>
        <v>39497.3</v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>
      <c r="A23">
        <v>44896</v>
      </c>
      <c r="B23">
        <v>3421.2</v>
      </c>
      <c r="C23">
        <v>5974</v>
      </c>
      <c r="D23">
        <v>6125</v>
      </c>
      <c r="E23">
        <v>4857.7</v>
      </c>
      <c r="F23">
        <v>1958.8</v>
      </c>
      <c r="G23">
        <v>1059.3</v>
      </c>
      <c r="H23">
        <v>7467.5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>
        <v>30863.5</v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>
      <c r="A24">
        <v>44927</v>
      </c>
      <c r="B24">
        <v>3936.6</v>
      </c>
      <c r="C24">
        <v>7082.8</v>
      </c>
      <c r="D24">
        <v>6992</v>
      </c>
      <c r="E24">
        <v>5536.9</v>
      </c>
      <c r="F24">
        <v>2293.8</v>
      </c>
      <c r="G24">
        <v>1196.5</v>
      </c>
      <c r="H24">
        <v>8696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>
        <v>35734.600000000006</v>
      </c>
      <c r="AT24">
        <v>675872.6</v>
      </c>
      <c r="AU24" t="str">
        <v>2023 kWh total</v>
      </c>
      <c r="AV24">
        <v>941047.8352469999</v>
      </c>
      <c r="AW24" t="str">
        <v/>
      </c>
      <c r="AX24" t="str">
        <v/>
      </c>
      <c r="AY24" t="str">
        <v/>
      </c>
    </row>
    <row r="25">
      <c r="A25">
        <v>44958</v>
      </c>
      <c r="B25">
        <v>4473</v>
      </c>
      <c r="C25">
        <v>7822</v>
      </c>
      <c r="D25">
        <v>7758</v>
      </c>
      <c r="E25">
        <v>6120</v>
      </c>
      <c r="F25">
        <v>2647</v>
      </c>
      <c r="G25">
        <v>1333</v>
      </c>
      <c r="H25">
        <v>9378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>
        <v>39531</v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>
      <c r="A26">
        <v>44986</v>
      </c>
      <c r="B26">
        <v>7353</v>
      </c>
      <c r="C26">
        <v>12153</v>
      </c>
      <c r="D26">
        <v>12363</v>
      </c>
      <c r="E26">
        <v>9842</v>
      </c>
      <c r="F26">
        <v>4281</v>
      </c>
      <c r="G26">
        <v>2138</v>
      </c>
      <c r="H26">
        <v>14772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>
        <v>62902</v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>
      <c r="A27">
        <v>45017</v>
      </c>
      <c r="B27">
        <v>8095</v>
      </c>
      <c r="C27">
        <v>12271</v>
      </c>
      <c r="D27">
        <v>13353</v>
      </c>
      <c r="E27">
        <v>10433</v>
      </c>
      <c r="F27">
        <v>4667</v>
      </c>
      <c r="G27">
        <v>2310</v>
      </c>
      <c r="H27">
        <v>15654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>
        <v>66783</v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>
      <c r="A28">
        <v>45047</v>
      </c>
      <c r="B28">
        <v>8809</v>
      </c>
      <c r="C28">
        <v>11812</v>
      </c>
      <c r="D28">
        <v>14007</v>
      </c>
      <c r="E28">
        <v>10883</v>
      </c>
      <c r="F28">
        <v>4954</v>
      </c>
      <c r="G28">
        <v>2488</v>
      </c>
      <c r="H28">
        <v>15854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>
        <v>68807</v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>
      <c r="A29">
        <v>45078</v>
      </c>
      <c r="B29">
        <v>8448</v>
      </c>
      <c r="C29">
        <v>12311</v>
      </c>
      <c r="D29">
        <v>14118</v>
      </c>
      <c r="E29">
        <v>11166</v>
      </c>
      <c r="F29">
        <v>4969</v>
      </c>
      <c r="G29">
        <v>2640</v>
      </c>
      <c r="H29">
        <v>16247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>
        <v>69899</v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>
      <c r="A30">
        <v>45108</v>
      </c>
      <c r="B30">
        <v>9191</v>
      </c>
      <c r="C30">
        <v>15058</v>
      </c>
      <c r="D30">
        <v>15714</v>
      </c>
      <c r="E30">
        <v>12103</v>
      </c>
      <c r="F30">
        <v>5394</v>
      </c>
      <c r="G30">
        <v>2679</v>
      </c>
      <c r="H30">
        <v>17843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>
        <v>77982</v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>
      <c r="A31">
        <v>45139</v>
      </c>
      <c r="B31">
        <v>8229</v>
      </c>
      <c r="C31">
        <v>13738</v>
      </c>
      <c r="D31">
        <v>13782</v>
      </c>
      <c r="E31">
        <v>10940</v>
      </c>
      <c r="F31">
        <v>4872</v>
      </c>
      <c r="G31">
        <v>2538</v>
      </c>
      <c r="H31">
        <v>16100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>
        <v>70199</v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>
      <c r="A32">
        <v>45170</v>
      </c>
      <c r="B32">
        <v>7339</v>
      </c>
      <c r="C32">
        <v>11143</v>
      </c>
      <c r="D32">
        <v>11878</v>
      </c>
      <c r="E32">
        <v>9589</v>
      </c>
      <c r="F32">
        <v>4114</v>
      </c>
      <c r="G32">
        <v>2150</v>
      </c>
      <c r="H32">
        <v>13717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>
        <v>59930</v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>
      <c r="A33">
        <v>45200</v>
      </c>
      <c r="B33">
        <v>6248</v>
      </c>
      <c r="C33">
        <v>9426</v>
      </c>
      <c r="D33">
        <v>10278</v>
      </c>
      <c r="E33">
        <v>8301</v>
      </c>
      <c r="F33">
        <v>3520</v>
      </c>
      <c r="G33">
        <v>1888</v>
      </c>
      <c r="H33">
        <v>12501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>
        <v>52162</v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>
      <c r="A34">
        <v>45231</v>
      </c>
      <c r="B34">
        <v>4633</v>
      </c>
      <c r="C34">
        <v>7048</v>
      </c>
      <c r="D34">
        <v>7802</v>
      </c>
      <c r="E34">
        <v>6177</v>
      </c>
      <c r="F34">
        <v>2649</v>
      </c>
      <c r="G34">
        <v>1413</v>
      </c>
      <c r="H34">
        <v>9258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>
        <v>38980</v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>
      <c r="A35">
        <v>45261</v>
      </c>
      <c r="B35">
        <v>3821</v>
      </c>
      <c r="C35">
        <v>6048</v>
      </c>
      <c r="D35">
        <v>6564</v>
      </c>
      <c r="E35">
        <v>5126</v>
      </c>
      <c r="F35">
        <v>2194</v>
      </c>
      <c r="G35">
        <v>1179</v>
      </c>
      <c r="H35">
        <v>8031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>
        <v>32963</v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>
      <c r="A36">
        <v>45292</v>
      </c>
      <c r="B36">
        <v>4404</v>
      </c>
      <c r="C36">
        <v>7365</v>
      </c>
      <c r="D36">
        <v>7571</v>
      </c>
      <c r="E36">
        <v>5884</v>
      </c>
      <c r="F36">
        <v>2544</v>
      </c>
      <c r="G36">
        <v>1369</v>
      </c>
      <c r="H36">
        <v>9262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>
        <v>38399</v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>
      <c r="A37">
        <v>45323</v>
      </c>
      <c r="B37">
        <v>5354</v>
      </c>
      <c r="C37">
        <v>8060</v>
      </c>
      <c r="D37">
        <v>8842</v>
      </c>
      <c r="E37">
        <v>6978</v>
      </c>
      <c r="F37">
        <v>3007</v>
      </c>
      <c r="G37">
        <v>1561</v>
      </c>
      <c r="H37">
        <v>10286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>
        <v>44088</v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>
      <c r="A38">
        <v>45352</v>
      </c>
      <c r="B38">
        <v>6893</v>
      </c>
      <c r="C38">
        <v>10439</v>
      </c>
      <c r="D38">
        <v>11328</v>
      </c>
      <c r="E38">
        <v>8989</v>
      </c>
      <c r="F38">
        <v>3843</v>
      </c>
      <c r="G38">
        <v>1994</v>
      </c>
      <c r="H38">
        <v>13015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>
        <v>56501</v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>
      <c r="A39">
        <v>45383</v>
      </c>
      <c r="B39">
        <v>7865</v>
      </c>
      <c r="C39">
        <v>12443</v>
      </c>
      <c r="D39">
        <v>13159</v>
      </c>
      <c r="E39">
        <v>10524</v>
      </c>
      <c r="F39">
        <v>4480</v>
      </c>
      <c r="G39">
        <v>2304</v>
      </c>
      <c r="H39">
        <v>15480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>
        <v>66255</v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>
      <c r="A40">
        <v>45413</v>
      </c>
      <c r="B40">
        <v>8220</v>
      </c>
      <c r="C40">
        <v>13876</v>
      </c>
      <c r="D40">
        <v>14099</v>
      </c>
      <c r="E40">
        <v>11132</v>
      </c>
      <c r="F40">
        <v>4587</v>
      </c>
      <c r="G40">
        <v>2402</v>
      </c>
      <c r="H40">
        <v>15597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>
        <v>69913</v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>
      <c r="A41">
        <v>45444</v>
      </c>
      <c r="B41">
        <v>10126</v>
      </c>
      <c r="C41">
        <v>15495</v>
      </c>
      <c r="D41">
        <v>16968</v>
      </c>
      <c r="E41">
        <v>13349</v>
      </c>
      <c r="F41">
        <v>5147</v>
      </c>
      <c r="G41">
        <v>2823</v>
      </c>
      <c r="H41">
        <v>17475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>
        <v>81383</v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>
      <c r="A42">
        <v>45474</v>
      </c>
      <c r="B42">
        <v>8333</v>
      </c>
      <c r="C42">
        <v>14300</v>
      </c>
      <c r="D42">
        <v>14609</v>
      </c>
      <c r="E42">
        <v>11560</v>
      </c>
      <c r="F42">
        <v>4851</v>
      </c>
      <c r="G42">
        <v>2416</v>
      </c>
      <c r="H42">
        <v>15838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>
        <v>71907</v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>
      <c r="A43">
        <v>45505</v>
      </c>
      <c r="B43">
        <v>9922</v>
      </c>
      <c r="C43">
        <v>16803</v>
      </c>
      <c r="D43">
        <v>17145</v>
      </c>
      <c r="E43">
        <v>13756</v>
      </c>
      <c r="F43">
        <v>5648</v>
      </c>
      <c r="G43">
        <v>2811</v>
      </c>
      <c r="H43">
        <v>18648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>
        <v>84733</v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>
      <c r="A44">
        <v>45536</v>
      </c>
      <c r="B44">
        <v>6297</v>
      </c>
      <c r="C44">
        <v>10349</v>
      </c>
      <c r="D44">
        <v>10423</v>
      </c>
      <c r="E44">
        <v>8542</v>
      </c>
      <c r="F44">
        <v>3374</v>
      </c>
      <c r="G44">
        <v>1812</v>
      </c>
      <c r="H44">
        <v>12265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>
        <v>53062</v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>
      <c r="A45">
        <v>45566</v>
      </c>
      <c r="B45">
        <v>7539</v>
      </c>
      <c r="C45">
        <v>11734</v>
      </c>
      <c r="D45">
        <v>12751</v>
      </c>
      <c r="E45">
        <v>10212</v>
      </c>
      <c r="F45">
        <v>4114</v>
      </c>
      <c r="G45">
        <v>2143</v>
      </c>
      <c r="H45">
        <v>14892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>
        <v>63385</v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>
      <c r="A46">
        <v>45597</v>
      </c>
      <c r="B46">
        <v>4473</v>
      </c>
      <c r="C46">
        <v>6670</v>
      </c>
      <c r="D46">
        <v>6138</v>
      </c>
      <c r="E46">
        <v>5974</v>
      </c>
      <c r="F46">
        <v>2361</v>
      </c>
      <c r="G46">
        <v>1278</v>
      </c>
      <c r="H46">
        <v>8825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>
        <v>35719</v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>
      <c r="A47">
        <v>45627</v>
      </c>
      <c r="B47">
        <v>4256</v>
      </c>
      <c r="C47">
        <v>7106</v>
      </c>
      <c r="D47">
        <v>7738</v>
      </c>
      <c r="E47">
        <v>6010</v>
      </c>
      <c r="F47">
        <v>2442</v>
      </c>
      <c r="G47">
        <v>1328</v>
      </c>
      <c r="H47">
        <v>9230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>
        <v>38110</v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>
      <c r="A48">
        <v>45658</v>
      </c>
      <c r="B48">
        <v>4812</v>
      </c>
      <c r="C48">
        <v>7562</v>
      </c>
      <c r="D48">
        <v>7729</v>
      </c>
      <c r="E48">
        <v>6353</v>
      </c>
      <c r="F48">
        <v>2544</v>
      </c>
      <c r="G48">
        <v>1400</v>
      </c>
      <c r="H48">
        <v>9682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>
        <v>40082</v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>
      <c r="A49">
        <v>45689</v>
      </c>
      <c r="B49">
        <v>5541</v>
      </c>
      <c r="C49">
        <v>8595</v>
      </c>
      <c r="D49">
        <v>9423</v>
      </c>
      <c r="E49">
        <v>7422</v>
      </c>
      <c r="F49">
        <v>3032</v>
      </c>
      <c r="G49">
        <v>1577</v>
      </c>
      <c r="H49">
        <v>10794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>
        <v>46384</v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>
      <c r="A50">
        <v>45717</v>
      </c>
      <c r="B50">
        <v>7804</v>
      </c>
      <c r="C50">
        <v>12195</v>
      </c>
      <c r="D50">
        <v>13660</v>
      </c>
      <c r="E50">
        <v>10808</v>
      </c>
      <c r="F50">
        <v>4399</v>
      </c>
      <c r="G50">
        <v>2295</v>
      </c>
      <c r="H50">
        <v>15586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>
        <v>66747</v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>
      <c r="A51">
        <v>45748</v>
      </c>
      <c r="B51">
        <v>7940</v>
      </c>
      <c r="C51">
        <v>12616</v>
      </c>
      <c r="D51">
        <v>14164</v>
      </c>
      <c r="E51">
        <v>11205</v>
      </c>
      <c r="F51">
        <v>4590</v>
      </c>
      <c r="G51">
        <v>2335</v>
      </c>
      <c r="H51">
        <v>15237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>
        <v>68087</v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>
      <c r="A52">
        <v>45778</v>
      </c>
      <c r="B52">
        <v>7624</v>
      </c>
      <c r="C52">
        <v>9775</v>
      </c>
      <c r="D52">
        <v>13736</v>
      </c>
      <c r="E52">
        <v>10941</v>
      </c>
      <c r="F52">
        <v>4463</v>
      </c>
      <c r="G52">
        <v>2287</v>
      </c>
      <c r="H52">
        <v>14704</v>
      </c>
      <c r="I52">
        <v>1508</v>
      </c>
      <c r="J52">
        <v>1943</v>
      </c>
      <c r="K52">
        <v>2652</v>
      </c>
      <c r="L52">
        <v>4519</v>
      </c>
      <c r="M52">
        <v>554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>
        <v>74706</v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>
      <c r="A53">
        <v>45809</v>
      </c>
      <c r="B53">
        <v>8622</v>
      </c>
      <c r="C53">
        <v>10064</v>
      </c>
      <c r="D53">
        <v>13705</v>
      </c>
      <c r="E53">
        <v>11886</v>
      </c>
      <c r="F53">
        <v>4765</v>
      </c>
      <c r="G53">
        <v>2415</v>
      </c>
      <c r="H53">
        <v>14941</v>
      </c>
      <c r="I53">
        <v>4618</v>
      </c>
      <c r="J53">
        <v>12205</v>
      </c>
      <c r="K53">
        <v>37032</v>
      </c>
      <c r="L53">
        <v>19655</v>
      </c>
      <c r="M53">
        <v>5857</v>
      </c>
      <c r="N53">
        <v>4615</v>
      </c>
      <c r="O53">
        <v>1678</v>
      </c>
      <c r="P53" t="str">
        <v/>
      </c>
      <c r="Q53">
        <v>17422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>
        <v>169480</v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>
      <c r="A54">
        <v>45839</v>
      </c>
      <c r="B54">
        <v>9507</v>
      </c>
      <c r="C54">
        <v>11187</v>
      </c>
      <c r="D54">
        <v>14317</v>
      </c>
      <c r="E54">
        <v>10126</v>
      </c>
      <c r="F54">
        <v>5352</v>
      </c>
      <c r="G54">
        <v>2591</v>
      </c>
      <c r="H54">
        <v>17268</v>
      </c>
      <c r="I54">
        <v>5006</v>
      </c>
      <c r="J54">
        <v>13261</v>
      </c>
      <c r="K54">
        <v>40651</v>
      </c>
      <c r="L54">
        <v>20886</v>
      </c>
      <c r="M54">
        <v>8218</v>
      </c>
      <c r="N54">
        <v>18601</v>
      </c>
      <c r="O54">
        <v>3523</v>
      </c>
      <c r="P54" t="str">
        <v/>
      </c>
      <c r="Q54">
        <v>20773</v>
      </c>
      <c r="R54" t="str">
        <v/>
      </c>
      <c r="S54" t="str">
        <v/>
      </c>
      <c r="T54">
        <v>2997</v>
      </c>
      <c r="U54" t="str">
        <v/>
      </c>
      <c r="V54" t="str">
        <v/>
      </c>
      <c r="W54" t="str">
        <v/>
      </c>
      <c r="X54">
        <v>5823</v>
      </c>
      <c r="Y54">
        <v>3322</v>
      </c>
      <c r="Z54" t="str">
        <v/>
      </c>
      <c r="AA54">
        <v>21553</v>
      </c>
      <c r="AB54">
        <v>2094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>
        <v>237056</v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>
      <c r="A55">
        <v>45870</v>
      </c>
      <c r="B55">
        <v>7275</v>
      </c>
      <c r="C55">
        <v>8251</v>
      </c>
      <c r="D55">
        <v>10513</v>
      </c>
      <c r="E55">
        <v>9297</v>
      </c>
      <c r="F55">
        <v>3916</v>
      </c>
      <c r="G55">
        <v>1937</v>
      </c>
      <c r="H55">
        <v>12687</v>
      </c>
      <c r="I55">
        <v>3886</v>
      </c>
      <c r="J55">
        <v>10423</v>
      </c>
      <c r="K55">
        <v>31347</v>
      </c>
      <c r="L55">
        <v>16593</v>
      </c>
      <c r="M55">
        <v>6213</v>
      </c>
      <c r="N55">
        <v>14517</v>
      </c>
      <c r="O55">
        <v>2738</v>
      </c>
      <c r="P55" t="str">
        <v/>
      </c>
      <c r="Q55">
        <v>15999</v>
      </c>
      <c r="R55" t="str">
        <v/>
      </c>
      <c r="S55">
        <v>10488</v>
      </c>
      <c r="T55">
        <v>4288</v>
      </c>
      <c r="U55" t="str">
        <v/>
      </c>
      <c r="V55" t="str">
        <v/>
      </c>
      <c r="W55" t="str">
        <v/>
      </c>
      <c r="X55">
        <v>18316</v>
      </c>
      <c r="Y55">
        <v>2283</v>
      </c>
      <c r="Z55">
        <v>868</v>
      </c>
      <c r="AA55">
        <v>17432</v>
      </c>
      <c r="AB55">
        <v>3036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>
        <v>212303</v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>
      <c r="A56">
        <v>45901</v>
      </c>
      <c r="B56">
        <v>7409</v>
      </c>
      <c r="C56">
        <v>8807</v>
      </c>
      <c r="D56">
        <v>12111</v>
      </c>
      <c r="E56">
        <v>7808</v>
      </c>
      <c r="F56">
        <v>4200</v>
      </c>
      <c r="G56">
        <v>2119</v>
      </c>
      <c r="H56">
        <v>13909</v>
      </c>
      <c r="I56">
        <v>4153</v>
      </c>
      <c r="J56">
        <v>10522</v>
      </c>
      <c r="K56">
        <v>31998</v>
      </c>
      <c r="L56">
        <v>18001</v>
      </c>
      <c r="M56">
        <v>6557</v>
      </c>
      <c r="N56">
        <v>16504</v>
      </c>
      <c r="O56">
        <v>2933</v>
      </c>
      <c r="P56" t="str">
        <v/>
      </c>
      <c r="Q56">
        <v>17687</v>
      </c>
      <c r="R56">
        <v>6855</v>
      </c>
      <c r="S56">
        <v>16833</v>
      </c>
      <c r="T56">
        <v>4134</v>
      </c>
      <c r="U56">
        <v>1843</v>
      </c>
      <c r="V56">
        <v>165</v>
      </c>
      <c r="W56">
        <v>9808</v>
      </c>
      <c r="X56">
        <v>19017</v>
      </c>
      <c r="Y56">
        <v>2532</v>
      </c>
      <c r="Z56">
        <v>3301</v>
      </c>
      <c r="AA56">
        <v>18602</v>
      </c>
      <c r="AB56">
        <v>3108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>
        <v>250916</v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>
      <c r="A57">
        <v>45931</v>
      </c>
      <c r="B57">
        <v>6071</v>
      </c>
      <c r="C57">
        <v>8942</v>
      </c>
      <c r="D57">
        <v>10320</v>
      </c>
      <c r="E57">
        <v>3562</v>
      </c>
      <c r="F57">
        <v>3277</v>
      </c>
      <c r="G57">
        <v>1658</v>
      </c>
      <c r="H57">
        <v>11820</v>
      </c>
      <c r="I57">
        <v>3400</v>
      </c>
      <c r="J57">
        <v>8599</v>
      </c>
      <c r="K57">
        <v>25870</v>
      </c>
      <c r="L57">
        <v>15160</v>
      </c>
      <c r="M57">
        <v>5073</v>
      </c>
      <c r="N57">
        <v>13999</v>
      </c>
      <c r="O57">
        <v>2197</v>
      </c>
      <c r="P57" t="str">
        <v/>
      </c>
      <c r="Q57">
        <v>14290</v>
      </c>
      <c r="R57">
        <v>7504</v>
      </c>
      <c r="S57">
        <v>14789</v>
      </c>
      <c r="T57">
        <v>3062</v>
      </c>
      <c r="U57">
        <v>3854</v>
      </c>
      <c r="V57">
        <v>9511</v>
      </c>
      <c r="W57">
        <v>9959</v>
      </c>
      <c r="X57">
        <v>15743</v>
      </c>
      <c r="Y57">
        <v>1946</v>
      </c>
      <c r="Z57">
        <v>2614</v>
      </c>
      <c r="AA57">
        <v>14412</v>
      </c>
      <c r="AB57">
        <v>2284</v>
      </c>
      <c r="AC57" t="str">
        <v/>
      </c>
      <c r="AD57">
        <v>7265</v>
      </c>
      <c r="AE57">
        <v>273</v>
      </c>
      <c r="AF57" t="str">
        <v/>
      </c>
      <c r="AG57" t="str">
        <v/>
      </c>
      <c r="AH57" t="str">
        <v/>
      </c>
      <c r="AI57">
        <v>2259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>
        <v>229713</v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>
      <c r="A58">
        <v>45962</v>
      </c>
      <c r="B58">
        <v>5092</v>
      </c>
      <c r="C58">
        <v>8208</v>
      </c>
      <c r="D58">
        <v>9076</v>
      </c>
      <c r="E58">
        <v>3089</v>
      </c>
      <c r="F58">
        <v>2846</v>
      </c>
      <c r="G58">
        <v>1457</v>
      </c>
      <c r="H58">
        <v>10640</v>
      </c>
      <c r="I58">
        <v>2715</v>
      </c>
      <c r="J58">
        <v>7525</v>
      </c>
      <c r="K58">
        <v>20491</v>
      </c>
      <c r="L58">
        <v>13709</v>
      </c>
      <c r="M58">
        <v>4382</v>
      </c>
      <c r="N58">
        <v>12902</v>
      </c>
      <c r="O58">
        <v>1872</v>
      </c>
      <c r="P58" t="str">
        <v/>
      </c>
      <c r="Q58">
        <v>12048</v>
      </c>
      <c r="R58">
        <v>7107</v>
      </c>
      <c r="S58">
        <v>13037</v>
      </c>
      <c r="T58">
        <v>2213</v>
      </c>
      <c r="U58">
        <v>3238</v>
      </c>
      <c r="V58">
        <v>7907</v>
      </c>
      <c r="W58">
        <v>7379</v>
      </c>
      <c r="X58">
        <v>13434</v>
      </c>
      <c r="Y58">
        <v>1525</v>
      </c>
      <c r="Z58">
        <v>2245</v>
      </c>
      <c r="AA58">
        <v>10402</v>
      </c>
      <c r="AB58">
        <v>1595</v>
      </c>
      <c r="AC58">
        <v>4721</v>
      </c>
      <c r="AD58">
        <v>7691</v>
      </c>
      <c r="AE58">
        <v>4518</v>
      </c>
      <c r="AF58">
        <v>29</v>
      </c>
      <c r="AG58">
        <v>6875</v>
      </c>
      <c r="AH58">
        <v>366</v>
      </c>
      <c r="AI58">
        <v>2494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>
        <v>212828</v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>
      <c r="A59">
        <v>45992</v>
      </c>
      <c r="B59">
        <v>3885</v>
      </c>
      <c r="C59">
        <v>6187</v>
      </c>
      <c r="D59">
        <v>6789</v>
      </c>
      <c r="E59">
        <v>5405</v>
      </c>
      <c r="F59">
        <v>2094</v>
      </c>
      <c r="G59">
        <v>1113</v>
      </c>
      <c r="H59">
        <v>7963</v>
      </c>
      <c r="I59">
        <v>2012</v>
      </c>
      <c r="J59">
        <v>5777</v>
      </c>
      <c r="K59">
        <v>17600</v>
      </c>
      <c r="L59">
        <v>10671</v>
      </c>
      <c r="M59">
        <v>3275</v>
      </c>
      <c r="N59">
        <v>9953</v>
      </c>
      <c r="O59">
        <v>1467</v>
      </c>
      <c r="P59">
        <v>1503</v>
      </c>
      <c r="Q59">
        <v>8670</v>
      </c>
      <c r="R59">
        <v>5063</v>
      </c>
      <c r="S59">
        <v>9805</v>
      </c>
      <c r="T59">
        <v>1700</v>
      </c>
      <c r="U59">
        <v>2329</v>
      </c>
      <c r="V59">
        <v>6254</v>
      </c>
      <c r="W59">
        <v>4523</v>
      </c>
      <c r="X59">
        <v>10284</v>
      </c>
      <c r="Y59">
        <v>1355</v>
      </c>
      <c r="Z59">
        <v>1721</v>
      </c>
      <c r="AA59">
        <v>9530</v>
      </c>
      <c r="AB59">
        <v>1147</v>
      </c>
      <c r="AC59">
        <v>11751</v>
      </c>
      <c r="AD59">
        <v>5982</v>
      </c>
      <c r="AE59">
        <v>3356</v>
      </c>
      <c r="AF59">
        <v>3260</v>
      </c>
      <c r="AG59">
        <v>5014</v>
      </c>
      <c r="AH59">
        <v>2306</v>
      </c>
      <c r="AI59">
        <v>1781</v>
      </c>
      <c r="AJ59">
        <v>134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>
        <v>181659</v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>
      <c r="A60">
        <v>46023</v>
      </c>
      <c r="B60">
        <v>4275</v>
      </c>
      <c r="C60">
        <v>6945</v>
      </c>
      <c r="D60">
        <v>7711</v>
      </c>
      <c r="E60">
        <v>5987</v>
      </c>
      <c r="F60">
        <v>2382</v>
      </c>
      <c r="G60">
        <v>1257</v>
      </c>
      <c r="H60">
        <v>8618</v>
      </c>
      <c r="I60">
        <v>2274</v>
      </c>
      <c r="J60">
        <v>6374</v>
      </c>
      <c r="K60">
        <v>19022</v>
      </c>
      <c r="L60">
        <v>11624</v>
      </c>
      <c r="M60">
        <v>3633</v>
      </c>
      <c r="N60">
        <v>10794</v>
      </c>
      <c r="O60">
        <v>1637</v>
      </c>
      <c r="P60">
        <v>3826</v>
      </c>
      <c r="Q60">
        <v>10048</v>
      </c>
      <c r="R60">
        <v>5889</v>
      </c>
      <c r="S60">
        <v>10835</v>
      </c>
      <c r="T60">
        <v>1965</v>
      </c>
      <c r="U60">
        <v>2701</v>
      </c>
      <c r="V60">
        <v>6965</v>
      </c>
      <c r="W60">
        <v>5404</v>
      </c>
      <c r="X60">
        <v>11118</v>
      </c>
      <c r="Y60">
        <v>1470</v>
      </c>
      <c r="Z60">
        <v>1914</v>
      </c>
      <c r="AA60">
        <v>10569</v>
      </c>
      <c r="AB60">
        <v>1485</v>
      </c>
      <c r="AC60">
        <v>14622</v>
      </c>
      <c r="AD60">
        <v>6495</v>
      </c>
      <c r="AE60">
        <v>3716</v>
      </c>
      <c r="AF60">
        <v>4302</v>
      </c>
      <c r="AG60">
        <v>5872</v>
      </c>
      <c r="AH60">
        <v>2745</v>
      </c>
      <c r="AI60">
        <v>2229</v>
      </c>
      <c r="AJ60">
        <v>1638</v>
      </c>
      <c r="AK60">
        <v>4025</v>
      </c>
      <c r="AL60">
        <v>2535</v>
      </c>
      <c r="AM60" t="str">
        <v/>
      </c>
      <c r="AN60" t="str">
        <v/>
      </c>
      <c r="AO60" t="str">
        <v/>
      </c>
      <c r="AP60" t="str">
        <v/>
      </c>
      <c r="AQ60">
        <v>5500</v>
      </c>
      <c r="AR60">
        <v>5500</v>
      </c>
      <c r="AS60">
        <v>214901</v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>
      <c r="A61">
        <v>46054</v>
      </c>
      <c r="B61">
        <v>5236</v>
      </c>
      <c r="C61">
        <v>7889</v>
      </c>
      <c r="D61">
        <v>9242</v>
      </c>
      <c r="E61">
        <v>7261</v>
      </c>
      <c r="F61">
        <v>2912</v>
      </c>
      <c r="G61">
        <v>1478</v>
      </c>
      <c r="H61">
        <v>10649</v>
      </c>
      <c r="I61">
        <v>2868</v>
      </c>
      <c r="J61">
        <v>7458</v>
      </c>
      <c r="K61">
        <v>23501</v>
      </c>
      <c r="L61">
        <v>13231</v>
      </c>
      <c r="M61">
        <v>4459</v>
      </c>
      <c r="N61">
        <v>12373</v>
      </c>
      <c r="O61">
        <v>1995</v>
      </c>
      <c r="P61">
        <v>4465</v>
      </c>
      <c r="Q61">
        <v>12183</v>
      </c>
      <c r="R61">
        <v>7287</v>
      </c>
      <c r="S61">
        <v>12943</v>
      </c>
      <c r="T61">
        <v>2618</v>
      </c>
      <c r="U61">
        <v>3324</v>
      </c>
      <c r="V61">
        <v>8418</v>
      </c>
      <c r="W61">
        <v>8126</v>
      </c>
      <c r="X61">
        <v>13483</v>
      </c>
      <c r="Y61">
        <v>1810</v>
      </c>
      <c r="Z61">
        <v>2359</v>
      </c>
      <c r="AA61">
        <v>12703</v>
      </c>
      <c r="AB61">
        <v>2003</v>
      </c>
      <c r="AC61">
        <v>14777</v>
      </c>
      <c r="AD61">
        <v>7333</v>
      </c>
      <c r="AE61">
        <v>4332</v>
      </c>
      <c r="AF61">
        <v>4568</v>
      </c>
      <c r="AG61">
        <v>6731</v>
      </c>
      <c r="AH61">
        <v>3246</v>
      </c>
      <c r="AI61">
        <v>2833</v>
      </c>
      <c r="AJ61">
        <v>2120</v>
      </c>
      <c r="AK61">
        <v>6471</v>
      </c>
      <c r="AL61">
        <v>4834</v>
      </c>
      <c r="AM61" t="str">
        <v/>
      </c>
      <c r="AN61">
        <v>1822</v>
      </c>
      <c r="AO61" t="str">
        <v/>
      </c>
      <c r="AP61" t="str">
        <v/>
      </c>
      <c r="AQ61">
        <v>5500</v>
      </c>
      <c r="AR61">
        <v>5500</v>
      </c>
      <c r="AS61">
        <v>261341</v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>
      <c r="A62">
        <v>46082</v>
      </c>
      <c r="B62">
        <v>7339</v>
      </c>
      <c r="C62">
        <v>11221</v>
      </c>
      <c r="D62">
        <v>13060</v>
      </c>
      <c r="E62">
        <v>10156</v>
      </c>
      <c r="F62">
        <v>4130</v>
      </c>
      <c r="G62">
        <v>2104</v>
      </c>
      <c r="H62">
        <v>14800</v>
      </c>
      <c r="I62">
        <v>4030</v>
      </c>
      <c r="J62">
        <v>10050</v>
      </c>
      <c r="K62">
        <v>32264</v>
      </c>
      <c r="L62">
        <v>17380</v>
      </c>
      <c r="M62">
        <v>5801</v>
      </c>
      <c r="N62">
        <v>16281</v>
      </c>
      <c r="O62">
        <v>2852</v>
      </c>
      <c r="P62">
        <v>6170</v>
      </c>
      <c r="Q62">
        <v>16597</v>
      </c>
      <c r="R62">
        <v>10279</v>
      </c>
      <c r="S62">
        <v>17674</v>
      </c>
      <c r="T62">
        <v>4275</v>
      </c>
      <c r="U62">
        <v>4700</v>
      </c>
      <c r="V62">
        <v>8809</v>
      </c>
      <c r="W62">
        <v>11472</v>
      </c>
      <c r="X62">
        <v>18173</v>
      </c>
      <c r="Y62">
        <v>2732</v>
      </c>
      <c r="Z62">
        <v>3568</v>
      </c>
      <c r="AA62">
        <v>18042</v>
      </c>
      <c r="AB62">
        <v>3052</v>
      </c>
      <c r="AC62">
        <v>18594</v>
      </c>
      <c r="AD62">
        <v>9302</v>
      </c>
      <c r="AE62">
        <v>6023</v>
      </c>
      <c r="AF62">
        <v>7080</v>
      </c>
      <c r="AG62">
        <v>9630</v>
      </c>
      <c r="AH62">
        <v>4526</v>
      </c>
      <c r="AI62">
        <v>4290</v>
      </c>
      <c r="AJ62">
        <v>3199</v>
      </c>
      <c r="AK62">
        <v>9442</v>
      </c>
      <c r="AL62">
        <v>6350</v>
      </c>
      <c r="AM62" t="str">
        <v/>
      </c>
      <c r="AN62">
        <v>7089</v>
      </c>
      <c r="AO62" t="str">
        <v/>
      </c>
      <c r="AP62">
        <v>2943</v>
      </c>
      <c r="AQ62">
        <v>5500</v>
      </c>
      <c r="AR62">
        <v>5500</v>
      </c>
      <c r="AS62">
        <v>365479</v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>
      <c r="A63">
        <v>46113</v>
      </c>
      <c r="B63">
        <v>8600</v>
      </c>
      <c r="C63">
        <v>12949</v>
      </c>
      <c r="D63">
        <v>14859</v>
      </c>
      <c r="E63">
        <v>11811</v>
      </c>
      <c r="F63">
        <v>4712</v>
      </c>
      <c r="G63">
        <v>2425</v>
      </c>
      <c r="H63">
        <v>17153</v>
      </c>
      <c r="I63">
        <v>4564</v>
      </c>
      <c r="J63">
        <v>12029</v>
      </c>
      <c r="K63">
        <v>37761</v>
      </c>
      <c r="L63">
        <v>20205</v>
      </c>
      <c r="M63">
        <v>7491</v>
      </c>
      <c r="N63">
        <v>18379</v>
      </c>
      <c r="O63">
        <v>3365</v>
      </c>
      <c r="P63">
        <v>7117</v>
      </c>
      <c r="Q63">
        <v>19271</v>
      </c>
      <c r="R63">
        <v>11900</v>
      </c>
      <c r="S63">
        <v>20458</v>
      </c>
      <c r="T63">
        <v>5049</v>
      </c>
      <c r="U63">
        <v>5675</v>
      </c>
      <c r="V63">
        <v>12167</v>
      </c>
      <c r="W63">
        <v>14558</v>
      </c>
      <c r="X63">
        <v>21569</v>
      </c>
      <c r="Y63">
        <v>3184</v>
      </c>
      <c r="Z63">
        <v>4007</v>
      </c>
      <c r="AA63">
        <v>21220</v>
      </c>
      <c r="AB63">
        <v>3707</v>
      </c>
      <c r="AC63">
        <v>13968</v>
      </c>
      <c r="AD63">
        <v>10827</v>
      </c>
      <c r="AE63">
        <v>7335</v>
      </c>
      <c r="AF63">
        <v>8849</v>
      </c>
      <c r="AG63">
        <v>11630</v>
      </c>
      <c r="AH63">
        <v>5278</v>
      </c>
      <c r="AI63">
        <v>5048</v>
      </c>
      <c r="AJ63">
        <v>3819</v>
      </c>
      <c r="AK63">
        <v>11953</v>
      </c>
      <c r="AL63">
        <v>7476</v>
      </c>
      <c r="AM63" t="str">
        <v/>
      </c>
      <c r="AN63">
        <v>8150</v>
      </c>
      <c r="AO63">
        <v>173</v>
      </c>
      <c r="AP63">
        <v>3830</v>
      </c>
      <c r="AQ63">
        <v>5500</v>
      </c>
      <c r="AR63">
        <v>5500</v>
      </c>
      <c r="AS63">
        <v>424521</v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>
      <c r="A64">
        <v>46143</v>
      </c>
      <c r="B64">
        <v>8025</v>
      </c>
      <c r="C64">
        <v>12687</v>
      </c>
      <c r="D64">
        <v>13771</v>
      </c>
      <c r="E64">
        <v>11050</v>
      </c>
      <c r="F64">
        <v>4424</v>
      </c>
      <c r="G64">
        <v>2230</v>
      </c>
      <c r="H64">
        <v>15275</v>
      </c>
      <c r="I64">
        <v>4136</v>
      </c>
      <c r="J64">
        <v>11078</v>
      </c>
      <c r="K64">
        <v>35147</v>
      </c>
      <c r="L64">
        <v>18168</v>
      </c>
      <c r="M64">
        <v>7023</v>
      </c>
      <c r="N64">
        <v>16559</v>
      </c>
      <c r="O64">
        <v>3059</v>
      </c>
      <c r="P64">
        <v>6477</v>
      </c>
      <c r="Q64">
        <v>17805</v>
      </c>
      <c r="R64">
        <v>10663</v>
      </c>
      <c r="S64">
        <v>18683</v>
      </c>
      <c r="T64">
        <v>4628</v>
      </c>
      <c r="U64">
        <v>5264</v>
      </c>
      <c r="V64">
        <v>12467</v>
      </c>
      <c r="W64">
        <v>13120</v>
      </c>
      <c r="X64">
        <v>19621</v>
      </c>
      <c r="Y64">
        <v>3070</v>
      </c>
      <c r="Z64">
        <v>3655</v>
      </c>
      <c r="AA64">
        <v>19751</v>
      </c>
      <c r="AB64">
        <v>3564</v>
      </c>
      <c r="AC64">
        <v>25566</v>
      </c>
      <c r="AD64">
        <v>10113</v>
      </c>
      <c r="AE64">
        <v>7046</v>
      </c>
      <c r="AF64">
        <v>8216</v>
      </c>
      <c r="AG64">
        <v>10702</v>
      </c>
      <c r="AH64">
        <v>4999</v>
      </c>
      <c r="AI64">
        <v>4787</v>
      </c>
      <c r="AJ64">
        <v>3550</v>
      </c>
      <c r="AK64">
        <v>11393</v>
      </c>
      <c r="AL64">
        <v>6764</v>
      </c>
      <c r="AM64">
        <v>2116</v>
      </c>
      <c r="AN64">
        <v>7968</v>
      </c>
      <c r="AO64">
        <v>2321</v>
      </c>
      <c r="AP64">
        <v>3480</v>
      </c>
      <c r="AQ64">
        <v>5500</v>
      </c>
      <c r="AR64">
        <v>5500</v>
      </c>
      <c r="AS64">
        <v>410421</v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>
      <c r="A65">
        <v>46174</v>
      </c>
      <c r="B65">
        <v>8157</v>
      </c>
      <c r="C65">
        <v>14215</v>
      </c>
      <c r="D65">
        <v>14314</v>
      </c>
      <c r="E65">
        <v>11327</v>
      </c>
      <c r="F65">
        <v>4549</v>
      </c>
      <c r="G65">
        <v>2291</v>
      </c>
      <c r="H65">
        <v>15421</v>
      </c>
      <c r="I65">
        <v>4171</v>
      </c>
      <c r="J65">
        <v>11503</v>
      </c>
      <c r="K65">
        <v>35714</v>
      </c>
      <c r="L65">
        <v>18117</v>
      </c>
      <c r="M65">
        <v>6917</v>
      </c>
      <c r="N65">
        <v>16776</v>
      </c>
      <c r="O65">
        <v>3044</v>
      </c>
      <c r="P65">
        <v>6682</v>
      </c>
      <c r="Q65">
        <v>18055</v>
      </c>
      <c r="R65">
        <v>11137</v>
      </c>
      <c r="S65">
        <v>17606</v>
      </c>
      <c r="T65">
        <v>4710</v>
      </c>
      <c r="U65">
        <v>5450</v>
      </c>
      <c r="V65">
        <v>12633</v>
      </c>
      <c r="W65">
        <v>13589</v>
      </c>
      <c r="X65">
        <v>19177</v>
      </c>
      <c r="Y65">
        <v>3173</v>
      </c>
      <c r="Z65">
        <v>3747</v>
      </c>
      <c r="AA65">
        <v>19713</v>
      </c>
      <c r="AB65">
        <v>3508</v>
      </c>
      <c r="AC65">
        <v>26053</v>
      </c>
      <c r="AD65">
        <v>10246</v>
      </c>
      <c r="AE65">
        <v>7105</v>
      </c>
      <c r="AF65">
        <v>8208</v>
      </c>
      <c r="AG65">
        <v>10945</v>
      </c>
      <c r="AH65">
        <v>5162</v>
      </c>
      <c r="AI65">
        <v>4857</v>
      </c>
      <c r="AJ65">
        <v>3717</v>
      </c>
      <c r="AK65">
        <v>12242</v>
      </c>
      <c r="AL65">
        <v>6903</v>
      </c>
      <c r="AM65">
        <v>2448</v>
      </c>
      <c r="AN65">
        <v>8342</v>
      </c>
      <c r="AO65">
        <v>2301</v>
      </c>
      <c r="AP65">
        <v>3429</v>
      </c>
      <c r="AQ65">
        <v>5500</v>
      </c>
      <c r="AR65">
        <v>5500</v>
      </c>
      <c r="AS65">
        <v>417654</v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>
      <c r="A68" t="str">
        <v>TOTAL</v>
      </c>
      <c r="B68">
        <v>439664.69999999995</v>
      </c>
      <c r="C68">
        <v>670254</v>
      </c>
      <c r="D68">
        <v>745562.2</v>
      </c>
      <c r="E68">
        <v>516585.30000000005</v>
      </c>
      <c r="F68">
        <v>212976.80000000002</v>
      </c>
      <c r="G68">
        <v>109471.7</v>
      </c>
      <c r="H68">
        <v>696118.8</v>
      </c>
      <c r="I68">
        <v>49341</v>
      </c>
      <c r="J68">
        <v>128747</v>
      </c>
      <c r="K68">
        <v>391050</v>
      </c>
      <c r="L68">
        <v>217919</v>
      </c>
      <c r="M68">
        <v>75453</v>
      </c>
      <c r="N68">
        <v>182253</v>
      </c>
      <c r="O68">
        <v>32360</v>
      </c>
      <c r="P68">
        <v>36240</v>
      </c>
      <c r="Q68">
        <v>200848</v>
      </c>
      <c r="R68">
        <v>83684</v>
      </c>
      <c r="S68">
        <v>163151</v>
      </c>
      <c r="T68">
        <v>41639</v>
      </c>
      <c r="U68">
        <v>38378</v>
      </c>
      <c r="V68">
        <v>85296</v>
      </c>
      <c r="W68">
        <v>97938</v>
      </c>
      <c r="X68">
        <v>185758</v>
      </c>
      <c r="Y68">
        <v>28402</v>
      </c>
      <c r="Z68">
        <v>29999</v>
      </c>
      <c r="AA68">
        <v>193929</v>
      </c>
      <c r="AB68">
        <v>30583</v>
      </c>
      <c r="AC68">
        <v>130052</v>
      </c>
      <c r="AD68">
        <v>75254</v>
      </c>
      <c r="AE68">
        <v>43704</v>
      </c>
      <c r="AF68">
        <v>44512</v>
      </c>
      <c r="AG68">
        <v>67399</v>
      </c>
      <c r="AH68">
        <v>28628</v>
      </c>
      <c r="AI68">
        <v>30578</v>
      </c>
      <c r="AJ68">
        <v>18177</v>
      </c>
      <c r="AK68">
        <v>55526</v>
      </c>
      <c r="AL68">
        <v>34862</v>
      </c>
      <c r="AM68">
        <v>4564</v>
      </c>
      <c r="AN68">
        <v>33371</v>
      </c>
      <c r="AO68">
        <v>4795</v>
      </c>
      <c r="AP68">
        <v>13682</v>
      </c>
      <c r="AQ68" t="str">
        <v/>
      </c>
      <c r="AR68" t="str">
        <v/>
      </c>
      <c r="AS68">
        <v>6268705.5</v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>
      <c r="A69" t="str">
        <v>CO2e savings (lbs)*</v>
      </c>
      <c r="B69">
        <v>612164.9467214999</v>
      </c>
      <c r="C69">
        <v>933224.8056300001</v>
      </c>
      <c r="D69">
        <v>1038079.8013589999</v>
      </c>
      <c r="E69">
        <v>719264.9595285001</v>
      </c>
      <c r="F69">
        <v>296537.182596</v>
      </c>
      <c r="G69">
        <v>152422.3741365</v>
      </c>
      <c r="H69">
        <v>969237.5305860002</v>
      </c>
      <c r="I69">
        <v>68699.694645</v>
      </c>
      <c r="J69">
        <v>179260.241715</v>
      </c>
      <c r="K69">
        <v>544476.51225</v>
      </c>
      <c r="L69">
        <v>303418.430055</v>
      </c>
      <c r="M69">
        <v>105056.607285</v>
      </c>
      <c r="N69">
        <v>253759.05328499997</v>
      </c>
      <c r="O69">
        <v>45056.2842</v>
      </c>
      <c r="P69">
        <v>50458.582800000004</v>
      </c>
      <c r="Q69">
        <v>279649.70856</v>
      </c>
      <c r="R69">
        <v>116516.99898</v>
      </c>
      <c r="S69">
        <v>227162.47909500002</v>
      </c>
      <c r="T69">
        <v>57975.853455000004</v>
      </c>
      <c r="U69">
        <v>53435.41641</v>
      </c>
      <c r="V69">
        <v>118761.45912000001</v>
      </c>
      <c r="W69">
        <v>136363.48461</v>
      </c>
      <c r="X69">
        <v>258639.22251000002</v>
      </c>
      <c r="Y69">
        <v>39545.382690000006</v>
      </c>
      <c r="Z69">
        <v>41768.957655</v>
      </c>
      <c r="AA69">
        <v>270016.07350500004</v>
      </c>
      <c r="AB69">
        <v>42582.087135</v>
      </c>
      <c r="AC69">
        <v>181077.25194</v>
      </c>
      <c r="AD69">
        <v>104779.53063000001</v>
      </c>
      <c r="AE69">
        <v>60851.045880000005</v>
      </c>
      <c r="AF69">
        <v>61976.06064</v>
      </c>
      <c r="AG69">
        <v>93842.660655</v>
      </c>
      <c r="AH69">
        <v>39860.05266</v>
      </c>
      <c r="AI69">
        <v>42575.12541</v>
      </c>
      <c r="AJ69">
        <v>25308.655065</v>
      </c>
      <c r="AK69">
        <v>77311.34847000001</v>
      </c>
      <c r="AL69">
        <v>48539.931390000005</v>
      </c>
      <c r="AM69">
        <v>6354.66258</v>
      </c>
      <c r="AN69">
        <v>46463.944995000005</v>
      </c>
      <c r="AO69">
        <v>6676.294275</v>
      </c>
      <c r="AP69">
        <v>19050.064290000002</v>
      </c>
      <c r="AQ69" t="str">
        <v/>
      </c>
      <c r="AR69" t="str">
        <v/>
      </c>
      <c r="AS69">
        <v>8728200.759397501</v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>
      <c r="A71" t="str">
        <v>* https://www.epa.gov/egrid/download-data  -  also saved in emissions folder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</sheetData>
  <ignoredErrors>
    <ignoredError numberStoredAsText="1" sqref="A1:AY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V97"/>
  <sheetViews>
    <sheetView workbookViewId="0" rightToLeft="0"/>
  </sheetViews>
  <sheetData>
    <row r="1">
      <c r="A1" t="str">
        <v/>
      </c>
      <c r="B1" t="str">
        <v>Monthly Electric Utility Rates ($/kWh)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</row>
    <row r="2">
      <c r="A2" t="str">
        <v>Month</v>
      </c>
      <c r="B2" t="str">
        <v>Alpharetta Library (GP)</v>
      </c>
      <c r="C2" t="str">
        <v>Wolf Creek Library (GreyStone)</v>
      </c>
      <c r="D2" t="str">
        <v>Metropolitan Library (GP)</v>
      </c>
      <c r="E2" t="str">
        <v>Northwest Library (GP)</v>
      </c>
      <c r="F2" t="str">
        <v>Southeast Atlanta Library (GP)</v>
      </c>
      <c r="G2" t="str">
        <v>Neighbor-hood Union Health (GP)</v>
      </c>
      <c r="H2" t="str">
        <v>College Park Health (College Park)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Test Lab Annex</v>
      </c>
      <c r="AS2" t="str">
        <v>AVERAGE</v>
      </c>
      <c r="AT2" t="str">
        <v/>
      </c>
      <c r="AU2" t="str">
        <v/>
      </c>
      <c r="AV2" t="str">
        <v/>
      </c>
    </row>
    <row r="3">
      <c r="A3">
        <v>44287</v>
      </c>
      <c r="B3">
        <v>0.142</v>
      </c>
      <c r="C3">
        <v>0.11</v>
      </c>
      <c r="D3">
        <v>0.096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>
        <v>0.11599999999999999</v>
      </c>
      <c r="AT3" t="str">
        <v/>
      </c>
      <c r="AU3" t="str">
        <v/>
      </c>
      <c r="AV3" t="str">
        <v/>
      </c>
    </row>
    <row r="4">
      <c r="A4">
        <v>44317</v>
      </c>
      <c r="B4">
        <v>0.142</v>
      </c>
      <c r="C4">
        <v>0.105</v>
      </c>
      <c r="D4">
        <v>0.098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>
        <v>0.11499999999999999</v>
      </c>
      <c r="AT4" t="str">
        <v/>
      </c>
      <c r="AU4" t="str">
        <v/>
      </c>
      <c r="AV4" t="str">
        <v/>
      </c>
    </row>
    <row r="5">
      <c r="A5">
        <v>44348</v>
      </c>
      <c r="B5">
        <v>0.182</v>
      </c>
      <c r="C5">
        <v>0.1</v>
      </c>
      <c r="D5">
        <v>0.13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>
        <v>0.13733333333333334</v>
      </c>
      <c r="AT5" t="str">
        <v/>
      </c>
      <c r="AU5" t="str">
        <v/>
      </c>
      <c r="AV5" t="str">
        <v/>
      </c>
    </row>
    <row r="6">
      <c r="A6">
        <v>44378</v>
      </c>
      <c r="B6">
        <v>0.134</v>
      </c>
      <c r="C6">
        <v>0.105</v>
      </c>
      <c r="D6">
        <v>0.119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>
        <v>0.11933333333333333</v>
      </c>
      <c r="AT6" t="str">
        <v/>
      </c>
      <c r="AU6" t="str">
        <v/>
      </c>
      <c r="AV6" t="str">
        <v/>
      </c>
    </row>
    <row r="7">
      <c r="A7">
        <v>44409</v>
      </c>
      <c r="B7">
        <v>0.168</v>
      </c>
      <c r="C7">
        <v>0.096</v>
      </c>
      <c r="D7">
        <v>0.133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>
        <v>0.13233333333333333</v>
      </c>
      <c r="AT7" t="str">
        <v/>
      </c>
      <c r="AU7" t="str">
        <v/>
      </c>
      <c r="AV7" t="str">
        <v/>
      </c>
    </row>
    <row r="8">
      <c r="A8">
        <v>44440</v>
      </c>
      <c r="B8">
        <v>0.169</v>
      </c>
      <c r="C8">
        <v>0.083</v>
      </c>
      <c r="D8">
        <v>0.129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>
        <v>0.127</v>
      </c>
      <c r="AT8" t="str">
        <v/>
      </c>
      <c r="AU8" t="str">
        <v/>
      </c>
      <c r="AV8" t="str">
        <v/>
      </c>
    </row>
    <row r="9">
      <c r="A9">
        <v>44470</v>
      </c>
      <c r="B9">
        <v>0.097</v>
      </c>
      <c r="C9">
        <v>0.112</v>
      </c>
      <c r="D9">
        <v>0.088</v>
      </c>
      <c r="E9">
        <v>0.102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>
        <v>0.09975</v>
      </c>
      <c r="AT9" t="str">
        <v/>
      </c>
      <c r="AU9" t="str">
        <v/>
      </c>
      <c r="AV9" t="str">
        <v/>
      </c>
    </row>
    <row r="10">
      <c r="A10">
        <v>44501</v>
      </c>
      <c r="B10">
        <v>0.09</v>
      </c>
      <c r="C10">
        <v>0.099</v>
      </c>
      <c r="D10">
        <v>0.088</v>
      </c>
      <c r="E10">
        <v>0.102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>
        <v>0.09475</v>
      </c>
      <c r="AT10" t="str">
        <v/>
      </c>
      <c r="AU10" t="str">
        <v/>
      </c>
      <c r="AV10" t="str">
        <v/>
      </c>
    </row>
    <row r="11">
      <c r="A11">
        <v>44531</v>
      </c>
      <c r="B11">
        <v>0.094</v>
      </c>
      <c r="C11">
        <v>0.095</v>
      </c>
      <c r="D11">
        <v>0.087</v>
      </c>
      <c r="E11">
        <v>0.108</v>
      </c>
      <c r="F11">
        <v>0.157</v>
      </c>
      <c r="G11">
        <v>0.168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>
        <v>0.11816666666666668</v>
      </c>
      <c r="AT11" t="str">
        <v/>
      </c>
      <c r="AU11" t="str">
        <v/>
      </c>
      <c r="AV11" t="str">
        <v/>
      </c>
    </row>
    <row r="12">
      <c r="A12">
        <v>44562</v>
      </c>
      <c r="B12">
        <v>0.114</v>
      </c>
      <c r="C12">
        <v>0.096</v>
      </c>
      <c r="D12">
        <v>0.088</v>
      </c>
      <c r="E12">
        <v>0.152</v>
      </c>
      <c r="F12">
        <v>0.161</v>
      </c>
      <c r="G12">
        <v>0.103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>
        <v>0.11900000000000001</v>
      </c>
      <c r="AT12" t="str">
        <v/>
      </c>
      <c r="AU12" t="str">
        <v/>
      </c>
      <c r="AV12" t="str">
        <v/>
      </c>
    </row>
    <row r="13">
      <c r="A13">
        <v>44593</v>
      </c>
      <c r="B13">
        <v>0.114</v>
      </c>
      <c r="C13">
        <v>0.107</v>
      </c>
      <c r="D13">
        <v>0.088</v>
      </c>
      <c r="E13">
        <v>0.152</v>
      </c>
      <c r="F13">
        <v>0.156</v>
      </c>
      <c r="G13">
        <v>0.158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>
        <v>0.12916666666666668</v>
      </c>
      <c r="AT13" t="str">
        <v/>
      </c>
      <c r="AU13" t="str">
        <v/>
      </c>
      <c r="AV13" t="str">
        <v/>
      </c>
    </row>
    <row r="14">
      <c r="A14">
        <v>44621</v>
      </c>
      <c r="B14">
        <v>0.122</v>
      </c>
      <c r="C14">
        <v>0.112</v>
      </c>
      <c r="D14">
        <v>0.088</v>
      </c>
      <c r="E14">
        <v>0.093</v>
      </c>
      <c r="F14">
        <v>0.168</v>
      </c>
      <c r="G14">
        <v>0.102</v>
      </c>
      <c r="H14">
        <v>0.142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>
        <v>0.11814285714285713</v>
      </c>
      <c r="AT14" t="str">
        <v/>
      </c>
      <c r="AU14" t="str">
        <v/>
      </c>
      <c r="AV14" t="str">
        <v/>
      </c>
    </row>
    <row r="15">
      <c r="A15">
        <v>44652</v>
      </c>
      <c r="B15">
        <v>0.122</v>
      </c>
      <c r="C15">
        <v>0.098</v>
      </c>
      <c r="D15">
        <v>0.088</v>
      </c>
      <c r="E15">
        <v>0.09</v>
      </c>
      <c r="F15">
        <v>0.173</v>
      </c>
      <c r="G15">
        <v>0.103</v>
      </c>
      <c r="H15">
        <v>0.15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>
        <v>0.1177142857142857</v>
      </c>
      <c r="AT15" t="str">
        <v/>
      </c>
      <c r="AU15" t="str">
        <v/>
      </c>
      <c r="AV15" t="str">
        <v/>
      </c>
    </row>
    <row r="16">
      <c r="A16">
        <v>44682</v>
      </c>
      <c r="B16">
        <v>0.1</v>
      </c>
      <c r="C16">
        <v>0.109</v>
      </c>
      <c r="D16">
        <v>0.088</v>
      </c>
      <c r="E16">
        <v>0.088</v>
      </c>
      <c r="F16">
        <v>0.176</v>
      </c>
      <c r="G16">
        <v>0.089</v>
      </c>
      <c r="H16">
        <v>0.152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>
        <v>0.11457142857142856</v>
      </c>
      <c r="AT16" t="str">
        <v/>
      </c>
      <c r="AU16" t="str">
        <v/>
      </c>
      <c r="AV16" t="str">
        <v/>
      </c>
    </row>
    <row r="17">
      <c r="A17">
        <v>44713</v>
      </c>
      <c r="B17">
        <v>0.229</v>
      </c>
      <c r="C17">
        <v>0.104</v>
      </c>
      <c r="D17">
        <v>0.136</v>
      </c>
      <c r="E17">
        <v>0.168</v>
      </c>
      <c r="F17">
        <v>0.164</v>
      </c>
      <c r="G17">
        <v>0.163</v>
      </c>
      <c r="H17">
        <v>0.146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>
        <v>0.15857142857142859</v>
      </c>
      <c r="AT17" t="str">
        <v/>
      </c>
      <c r="AU17" t="str">
        <v/>
      </c>
      <c r="AV17" t="str">
        <v/>
      </c>
    </row>
    <row r="18">
      <c r="A18">
        <v>44743</v>
      </c>
      <c r="B18">
        <v>0.185</v>
      </c>
      <c r="C18">
        <v>0.094</v>
      </c>
      <c r="D18">
        <v>0.126</v>
      </c>
      <c r="E18">
        <v>0.151</v>
      </c>
      <c r="F18">
        <v>0.161</v>
      </c>
      <c r="G18">
        <v>0.158</v>
      </c>
      <c r="H18">
        <v>0.145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>
        <v>0.1457142857142857</v>
      </c>
      <c r="AT18" t="str">
        <v/>
      </c>
      <c r="AU18" t="str">
        <v/>
      </c>
      <c r="AV18" t="str">
        <v/>
      </c>
    </row>
    <row r="19">
      <c r="A19">
        <v>44774</v>
      </c>
      <c r="B19">
        <v>0.167</v>
      </c>
      <c r="C19">
        <v>0.103</v>
      </c>
      <c r="D19">
        <v>0.137</v>
      </c>
      <c r="E19">
        <v>0.145</v>
      </c>
      <c r="F19">
        <v>0.164</v>
      </c>
      <c r="G19">
        <v>0.162</v>
      </c>
      <c r="H19">
        <v>0.143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>
        <v>0.14585714285714288</v>
      </c>
      <c r="AT19" t="str">
        <v/>
      </c>
      <c r="AU19" t="str">
        <v/>
      </c>
      <c r="AV19" t="str">
        <v/>
      </c>
    </row>
    <row r="20">
      <c r="A20">
        <v>44805</v>
      </c>
      <c r="B20">
        <v>0.178</v>
      </c>
      <c r="C20">
        <v>0.112</v>
      </c>
      <c r="D20">
        <v>0.138</v>
      </c>
      <c r="E20">
        <v>0.143</v>
      </c>
      <c r="F20">
        <v>0.165</v>
      </c>
      <c r="G20">
        <v>0.167</v>
      </c>
      <c r="H20">
        <v>0.144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>
        <v>0.14957142857142855</v>
      </c>
      <c r="AT20" t="str">
        <v/>
      </c>
      <c r="AU20" t="str">
        <v/>
      </c>
      <c r="AV20" t="str">
        <v/>
      </c>
    </row>
    <row r="21">
      <c r="A21">
        <v>44835</v>
      </c>
      <c r="B21">
        <v>0.108</v>
      </c>
      <c r="C21">
        <v>0.114</v>
      </c>
      <c r="D21">
        <v>0.088</v>
      </c>
      <c r="E21">
        <v>0.089</v>
      </c>
      <c r="F21">
        <v>0.169</v>
      </c>
      <c r="G21">
        <v>0.099</v>
      </c>
      <c r="H21">
        <v>0.152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>
        <v>0.117</v>
      </c>
      <c r="AT21" t="str">
        <v/>
      </c>
      <c r="AU21" t="str">
        <v/>
      </c>
      <c r="AV21" t="str">
        <v/>
      </c>
    </row>
    <row r="22">
      <c r="A22">
        <v>44866</v>
      </c>
      <c r="B22">
        <v>0.103</v>
      </c>
      <c r="C22">
        <v>0.118</v>
      </c>
      <c r="D22">
        <v>0.087</v>
      </c>
      <c r="E22">
        <v>0.09</v>
      </c>
      <c r="F22">
        <v>0.166</v>
      </c>
      <c r="G22">
        <v>0.097</v>
      </c>
      <c r="H22">
        <v>0.155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>
        <v>0.11657142857142856</v>
      </c>
      <c r="AT22" t="str">
        <v/>
      </c>
      <c r="AU22" t="str">
        <v/>
      </c>
      <c r="AV22" t="str">
        <v/>
      </c>
    </row>
    <row r="23">
      <c r="A23">
        <v>44896</v>
      </c>
      <c r="B23">
        <v>0.1</v>
      </c>
      <c r="C23">
        <v>0.122</v>
      </c>
      <c r="D23">
        <v>0.087</v>
      </c>
      <c r="E23">
        <v>0.096</v>
      </c>
      <c r="F23">
        <v>0.156</v>
      </c>
      <c r="G23">
        <v>0.098</v>
      </c>
      <c r="H23">
        <v>0.141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>
        <v>0.1142857142857143</v>
      </c>
      <c r="AT23" t="str">
        <v/>
      </c>
      <c r="AU23" t="str">
        <v/>
      </c>
      <c r="AV23" t="str">
        <v/>
      </c>
    </row>
    <row r="24">
      <c r="A24">
        <v>44927</v>
      </c>
      <c r="B24">
        <v>0.103</v>
      </c>
      <c r="C24">
        <v>0.136</v>
      </c>
      <c r="D24">
        <v>0.086</v>
      </c>
      <c r="E24">
        <v>0.095</v>
      </c>
      <c r="F24">
        <v>0.165</v>
      </c>
      <c r="G24">
        <v>0.1</v>
      </c>
      <c r="H24">
        <v>0.143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>
        <v>0.11828571428571429</v>
      </c>
      <c r="AT24" t="str">
        <v/>
      </c>
      <c r="AU24" t="str">
        <v/>
      </c>
      <c r="AV24" t="str">
        <v/>
      </c>
    </row>
    <row r="25">
      <c r="A25">
        <v>44958</v>
      </c>
      <c r="B25">
        <v>0.109</v>
      </c>
      <c r="C25">
        <v>0.146</v>
      </c>
      <c r="D25">
        <v>0.093</v>
      </c>
      <c r="E25">
        <v>0.091</v>
      </c>
      <c r="F25">
        <v>0.174</v>
      </c>
      <c r="G25">
        <v>0.101</v>
      </c>
      <c r="H25">
        <v>0.141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>
        <v>0.12214285714285714</v>
      </c>
      <c r="AT25" t="str">
        <v/>
      </c>
      <c r="AU25" t="str">
        <v/>
      </c>
      <c r="AV25" t="str">
        <v/>
      </c>
    </row>
    <row r="26">
      <c r="A26">
        <v>44986</v>
      </c>
      <c r="B26">
        <v>0.102</v>
      </c>
      <c r="C26">
        <v>0.135</v>
      </c>
      <c r="D26">
        <v>0.093</v>
      </c>
      <c r="E26">
        <v>0.09</v>
      </c>
      <c r="F26">
        <v>0.174</v>
      </c>
      <c r="G26">
        <v>0.101</v>
      </c>
      <c r="H26">
        <v>0.13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>
        <v>0.11785714285714284</v>
      </c>
      <c r="AT26" t="str">
        <v/>
      </c>
      <c r="AU26" t="str">
        <v/>
      </c>
      <c r="AV26" t="str">
        <v/>
      </c>
    </row>
    <row r="27">
      <c r="A27">
        <v>45017</v>
      </c>
      <c r="B27">
        <v>0.107</v>
      </c>
      <c r="C27">
        <v>0.111</v>
      </c>
      <c r="D27">
        <v>0.099</v>
      </c>
      <c r="E27">
        <v>0.087</v>
      </c>
      <c r="F27">
        <v>0.169</v>
      </c>
      <c r="G27">
        <v>0.103</v>
      </c>
      <c r="H27">
        <v>0.135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>
        <v>0.11585714285714287</v>
      </c>
      <c r="AT27" t="str">
        <v/>
      </c>
      <c r="AU27" t="str">
        <v/>
      </c>
      <c r="AV27" t="str">
        <v/>
      </c>
    </row>
    <row r="28">
      <c r="A28">
        <v>45047</v>
      </c>
      <c r="B28">
        <v>0.105</v>
      </c>
      <c r="C28">
        <v>0.103</v>
      </c>
      <c r="D28">
        <v>0.093</v>
      </c>
      <c r="E28">
        <v>0.086</v>
      </c>
      <c r="F28">
        <v>0.166</v>
      </c>
      <c r="G28">
        <v>0.1</v>
      </c>
      <c r="H28">
        <v>0.137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>
        <v>0.11285714285714286</v>
      </c>
      <c r="AT28" t="str">
        <v/>
      </c>
      <c r="AU28" t="str">
        <v/>
      </c>
      <c r="AV28" t="str">
        <v/>
      </c>
    </row>
    <row r="29">
      <c r="A29">
        <v>45078</v>
      </c>
      <c r="B29">
        <v>0.181</v>
      </c>
      <c r="C29">
        <v>0.105</v>
      </c>
      <c r="D29">
        <v>0.15</v>
      </c>
      <c r="E29">
        <v>0.14</v>
      </c>
      <c r="F29">
        <v>0.156</v>
      </c>
      <c r="G29">
        <v>0.166</v>
      </c>
      <c r="H29">
        <v>0.132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>
        <v>0.14714285714285716</v>
      </c>
      <c r="AT29" t="str">
        <v/>
      </c>
      <c r="AU29" t="str">
        <v/>
      </c>
      <c r="AV29" t="str">
        <v/>
      </c>
    </row>
    <row r="30">
      <c r="A30">
        <v>45108</v>
      </c>
      <c r="B30">
        <v>0.175</v>
      </c>
      <c r="C30">
        <v>0.105</v>
      </c>
      <c r="D30">
        <v>0.16</v>
      </c>
      <c r="E30">
        <v>0.16</v>
      </c>
      <c r="F30">
        <v>0.191</v>
      </c>
      <c r="G30">
        <v>0.186</v>
      </c>
      <c r="H30">
        <v>0.136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>
        <v>0.159</v>
      </c>
      <c r="AT30" t="str">
        <v/>
      </c>
      <c r="AU30" t="str">
        <v/>
      </c>
      <c r="AV30" t="str">
        <v/>
      </c>
    </row>
    <row r="31">
      <c r="A31">
        <v>45139</v>
      </c>
      <c r="B31">
        <v>0.189</v>
      </c>
      <c r="C31">
        <v>0.102</v>
      </c>
      <c r="D31">
        <v>0.16</v>
      </c>
      <c r="E31">
        <v>0.179</v>
      </c>
      <c r="F31">
        <v>0.203</v>
      </c>
      <c r="G31">
        <v>0.195</v>
      </c>
      <c r="H31">
        <v>0.129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>
        <v>0.16528571428571429</v>
      </c>
      <c r="AT31" t="str">
        <v/>
      </c>
      <c r="AU31" t="str">
        <v/>
      </c>
      <c r="AV31" t="str">
        <v/>
      </c>
    </row>
    <row r="32">
      <c r="A32">
        <v>45170</v>
      </c>
      <c r="B32">
        <v>0.196</v>
      </c>
      <c r="C32">
        <v>0.108</v>
      </c>
      <c r="D32">
        <v>0.155</v>
      </c>
      <c r="E32">
        <v>0.186</v>
      </c>
      <c r="F32">
        <v>0.201</v>
      </c>
      <c r="G32">
        <v>0.198</v>
      </c>
      <c r="H32">
        <v>0.13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>
        <v>0.1677142857142857</v>
      </c>
      <c r="AT32" t="str">
        <v/>
      </c>
      <c r="AU32" t="str">
        <v/>
      </c>
      <c r="AV32" t="str">
        <v/>
      </c>
    </row>
    <row r="33">
      <c r="A33">
        <v>45200</v>
      </c>
      <c r="B33">
        <v>0.119</v>
      </c>
      <c r="C33">
        <v>0.103</v>
      </c>
      <c r="D33">
        <v>0.103</v>
      </c>
      <c r="E33">
        <v>0.115</v>
      </c>
      <c r="F33">
        <v>0.2</v>
      </c>
      <c r="G33">
        <v>0.116</v>
      </c>
      <c r="H33">
        <v>0.136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>
        <v>0.12742857142857142</v>
      </c>
      <c r="AT33" t="str">
        <v/>
      </c>
      <c r="AU33" t="str">
        <v/>
      </c>
      <c r="AV33" t="str">
        <v/>
      </c>
    </row>
    <row r="34">
      <c r="A34">
        <v>45231</v>
      </c>
      <c r="B34">
        <v>0.114</v>
      </c>
      <c r="C34">
        <v>0.098</v>
      </c>
      <c r="D34">
        <v>0.105</v>
      </c>
      <c r="E34">
        <v>0.122</v>
      </c>
      <c r="F34">
        <v>0.2</v>
      </c>
      <c r="G34">
        <v>0.114</v>
      </c>
      <c r="H34">
        <v>0.13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>
        <v>0.12614285714285714</v>
      </c>
      <c r="AT34" t="str">
        <v/>
      </c>
      <c r="AU34" t="str">
        <v/>
      </c>
      <c r="AV34" t="str">
        <v/>
      </c>
    </row>
    <row r="35">
      <c r="A35">
        <v>45261</v>
      </c>
      <c r="B35">
        <v>0.106</v>
      </c>
      <c r="C35">
        <v>0.101</v>
      </c>
      <c r="D35">
        <v>0.108</v>
      </c>
      <c r="E35">
        <v>0.123</v>
      </c>
      <c r="F35">
        <v>0.19</v>
      </c>
      <c r="G35">
        <v>0.118</v>
      </c>
      <c r="H35">
        <v>0.123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>
        <v>0.12414285714285714</v>
      </c>
      <c r="AT35" t="str">
        <v/>
      </c>
      <c r="AU35" t="str">
        <v/>
      </c>
      <c r="AV35" t="str">
        <v/>
      </c>
    </row>
    <row r="36">
      <c r="A36">
        <v>45292</v>
      </c>
      <c r="B36">
        <v>0.102</v>
      </c>
      <c r="C36">
        <v>0.102</v>
      </c>
      <c r="D36">
        <v>0.112</v>
      </c>
      <c r="E36">
        <v>0.113</v>
      </c>
      <c r="F36">
        <v>0.155</v>
      </c>
      <c r="G36">
        <v>0.117</v>
      </c>
      <c r="H36">
        <v>0.132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>
        <v>0.119</v>
      </c>
      <c r="AT36" t="str">
        <v/>
      </c>
      <c r="AU36" t="str">
        <v/>
      </c>
      <c r="AV36" t="str">
        <v/>
      </c>
    </row>
    <row r="37">
      <c r="A37">
        <v>45323</v>
      </c>
      <c r="B37">
        <v>0.105</v>
      </c>
      <c r="C37">
        <v>0.103</v>
      </c>
      <c r="D37">
        <v>0.11</v>
      </c>
      <c r="E37">
        <v>0.115</v>
      </c>
      <c r="F37">
        <v>0.192</v>
      </c>
      <c r="G37">
        <v>0.126</v>
      </c>
      <c r="H37">
        <v>0.132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>
        <v>0.12614285714285714</v>
      </c>
      <c r="AT37" t="str">
        <v/>
      </c>
      <c r="AU37" t="str">
        <v/>
      </c>
      <c r="AV37" t="str">
        <v/>
      </c>
    </row>
    <row r="38">
      <c r="A38">
        <v>45352</v>
      </c>
      <c r="B38">
        <v>0.11</v>
      </c>
      <c r="C38">
        <v>0.114</v>
      </c>
      <c r="D38">
        <v>0.106</v>
      </c>
      <c r="E38">
        <v>0.117</v>
      </c>
      <c r="F38">
        <v>0.195</v>
      </c>
      <c r="G38">
        <v>0.126</v>
      </c>
      <c r="H38">
        <v>0.136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>
        <v>0.12914285714285714</v>
      </c>
      <c r="AT38" t="str">
        <v/>
      </c>
      <c r="AU38" t="str">
        <v/>
      </c>
      <c r="AV38" t="str">
        <v/>
      </c>
    </row>
    <row r="39">
      <c r="A39">
        <v>45383</v>
      </c>
      <c r="B39">
        <v>0.119</v>
      </c>
      <c r="C39">
        <v>0.111</v>
      </c>
      <c r="D39">
        <v>0.105</v>
      </c>
      <c r="E39">
        <v>0.114</v>
      </c>
      <c r="F39">
        <v>0.2</v>
      </c>
      <c r="G39">
        <v>0.123</v>
      </c>
      <c r="H39">
        <v>0.136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>
        <v>0.12971428571428573</v>
      </c>
      <c r="AT39" t="str">
        <v/>
      </c>
      <c r="AU39" t="str">
        <v/>
      </c>
      <c r="AV39" t="str">
        <v/>
      </c>
    </row>
    <row r="40">
      <c r="A40">
        <v>45413</v>
      </c>
      <c r="B40">
        <v>0.118</v>
      </c>
      <c r="C40">
        <v>0.115</v>
      </c>
      <c r="D40">
        <v>0.108</v>
      </c>
      <c r="E40">
        <v>0.127</v>
      </c>
      <c r="F40">
        <v>0.209</v>
      </c>
      <c r="G40">
        <v>0.115</v>
      </c>
      <c r="H40">
        <v>0.14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>
        <v>0.13314285714285715</v>
      </c>
      <c r="AT40" t="str">
        <v/>
      </c>
      <c r="AU40" t="str">
        <v/>
      </c>
      <c r="AV40" t="str">
        <v/>
      </c>
    </row>
    <row r="41">
      <c r="A41">
        <v>45444</v>
      </c>
      <c r="B41">
        <v>0.207</v>
      </c>
      <c r="C41">
        <v>0.113</v>
      </c>
      <c r="D41">
        <v>0.161</v>
      </c>
      <c r="E41">
        <v>0.21</v>
      </c>
      <c r="F41">
        <v>0.215</v>
      </c>
      <c r="G41">
        <v>0.211</v>
      </c>
      <c r="H41">
        <v>0.139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>
        <v>0.17942857142857144</v>
      </c>
      <c r="AT41" t="str">
        <v/>
      </c>
      <c r="AU41" t="str">
        <v/>
      </c>
      <c r="AV41" t="str">
        <v/>
      </c>
    </row>
    <row r="42">
      <c r="A42">
        <v>45474</v>
      </c>
      <c r="B42">
        <v>0.194</v>
      </c>
      <c r="C42">
        <v>0.108</v>
      </c>
      <c r="D42">
        <v>0.174</v>
      </c>
      <c r="E42">
        <v>0.21</v>
      </c>
      <c r="F42">
        <v>0.209</v>
      </c>
      <c r="G42">
        <v>0.213</v>
      </c>
      <c r="H42">
        <v>0.135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>
        <v>0.17757142857142855</v>
      </c>
      <c r="AT42" t="str">
        <v/>
      </c>
      <c r="AU42" t="str">
        <v/>
      </c>
      <c r="AV42" t="str">
        <v/>
      </c>
    </row>
    <row r="43">
      <c r="A43">
        <v>45505</v>
      </c>
      <c r="B43">
        <v>0.204</v>
      </c>
      <c r="C43">
        <v>0.109</v>
      </c>
      <c r="D43">
        <v>0.172</v>
      </c>
      <c r="E43">
        <v>0.205</v>
      </c>
      <c r="F43">
        <v>0.213</v>
      </c>
      <c r="G43">
        <v>0.217</v>
      </c>
      <c r="H43">
        <v>0.133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>
        <v>0.179</v>
      </c>
      <c r="AT43" t="str">
        <v/>
      </c>
      <c r="AU43" t="str">
        <v/>
      </c>
      <c r="AV43" t="str">
        <v/>
      </c>
    </row>
    <row r="44">
      <c r="A44">
        <v>45536</v>
      </c>
      <c r="B44">
        <v>0.2</v>
      </c>
      <c r="C44">
        <v>0.109</v>
      </c>
      <c r="D44">
        <v>0.165</v>
      </c>
      <c r="E44">
        <v>0.19</v>
      </c>
      <c r="F44">
        <v>0.214</v>
      </c>
      <c r="G44">
        <v>0.218</v>
      </c>
      <c r="H44">
        <v>0.133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>
        <v>0.17557142857142854</v>
      </c>
      <c r="AT44" t="str">
        <v/>
      </c>
      <c r="AU44" t="str">
        <v/>
      </c>
      <c r="AV44" t="str">
        <v/>
      </c>
    </row>
    <row r="45">
      <c r="A45">
        <v>45566</v>
      </c>
      <c r="B45">
        <v>0.118</v>
      </c>
      <c r="C45">
        <v>0.101</v>
      </c>
      <c r="D45">
        <v>0.111</v>
      </c>
      <c r="E45">
        <v>0.127</v>
      </c>
      <c r="F45">
        <v>0.217</v>
      </c>
      <c r="G45">
        <v>0.139</v>
      </c>
      <c r="H45">
        <v>0.131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>
        <v>0.13485714285714287</v>
      </c>
      <c r="AT45" t="str">
        <v/>
      </c>
      <c r="AU45" t="str">
        <v/>
      </c>
      <c r="AV45" t="str">
        <v/>
      </c>
    </row>
    <row r="46">
      <c r="A46">
        <v>45597</v>
      </c>
      <c r="B46">
        <v>0.116</v>
      </c>
      <c r="C46">
        <v>0.099</v>
      </c>
      <c r="D46">
        <v>0.111</v>
      </c>
      <c r="E46">
        <v>0.132</v>
      </c>
      <c r="F46">
        <v>0.216</v>
      </c>
      <c r="G46">
        <v>0.133</v>
      </c>
      <c r="H46">
        <v>0.126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>
        <v>0.13328571428571429</v>
      </c>
      <c r="AT46" t="str">
        <v/>
      </c>
      <c r="AU46" t="str">
        <v/>
      </c>
      <c r="AV46" t="str">
        <v/>
      </c>
    </row>
    <row r="47">
      <c r="A47">
        <v>45627</v>
      </c>
      <c r="B47">
        <v>0.11</v>
      </c>
      <c r="C47">
        <v>0.101</v>
      </c>
      <c r="D47">
        <v>0.118</v>
      </c>
      <c r="E47">
        <v>0.118</v>
      </c>
      <c r="F47">
        <v>0.186</v>
      </c>
      <c r="G47">
        <v>0.149</v>
      </c>
      <c r="H47">
        <v>0.131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>
        <v>0.13042857142857142</v>
      </c>
      <c r="AT47" t="str">
        <v/>
      </c>
      <c r="AU47" t="str">
        <v/>
      </c>
      <c r="AV47" t="str">
        <v/>
      </c>
    </row>
    <row r="48">
      <c r="A48">
        <v>45658</v>
      </c>
      <c r="B48">
        <v>0.11</v>
      </c>
      <c r="C48">
        <v>0.1</v>
      </c>
      <c r="D48">
        <v>0.119</v>
      </c>
      <c r="E48">
        <v>0.122</v>
      </c>
      <c r="F48">
        <v>0.162</v>
      </c>
      <c r="G48">
        <v>0.143</v>
      </c>
      <c r="H48">
        <v>0.14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>
        <v>0.128</v>
      </c>
      <c r="AT48" t="str">
        <v/>
      </c>
      <c r="AU48" t="str">
        <v/>
      </c>
      <c r="AV48" t="str">
        <v/>
      </c>
    </row>
    <row r="49">
      <c r="A49">
        <v>45689</v>
      </c>
      <c r="B49">
        <v>0.126</v>
      </c>
      <c r="C49">
        <v>0.106</v>
      </c>
      <c r="D49">
        <v>0.118</v>
      </c>
      <c r="E49">
        <v>0.129</v>
      </c>
      <c r="F49">
        <v>0.211</v>
      </c>
      <c r="G49">
        <v>0.146</v>
      </c>
      <c r="H49">
        <v>0.137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>
        <v>0.13899999999999998</v>
      </c>
      <c r="AT49" t="str">
        <v/>
      </c>
      <c r="AU49" t="str">
        <v/>
      </c>
      <c r="AV49" t="str">
        <v/>
      </c>
    </row>
    <row r="50">
      <c r="A50">
        <v>45717</v>
      </c>
      <c r="B50">
        <v>0.13</v>
      </c>
      <c r="C50">
        <v>0.109</v>
      </c>
      <c r="D50">
        <v>0.114</v>
      </c>
      <c r="E50">
        <v>0.131</v>
      </c>
      <c r="F50">
        <v>0.216</v>
      </c>
      <c r="G50">
        <v>0.144</v>
      </c>
      <c r="H50">
        <v>0.142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>
        <v>0.14085714285714285</v>
      </c>
      <c r="AT50" t="str">
        <v/>
      </c>
      <c r="AU50" t="str">
        <v/>
      </c>
      <c r="AV50" t="str">
        <v/>
      </c>
    </row>
    <row r="51">
      <c r="A51">
        <v>45748</v>
      </c>
      <c r="B51">
        <v>0.128</v>
      </c>
      <c r="C51">
        <v>0.102</v>
      </c>
      <c r="D51">
        <v>0.115</v>
      </c>
      <c r="E51">
        <v>0.141</v>
      </c>
      <c r="F51">
        <v>0.224</v>
      </c>
      <c r="G51">
        <v>0.135</v>
      </c>
      <c r="H51">
        <v>0.136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>
        <v>0.14014285714285715</v>
      </c>
      <c r="AT51" t="str">
        <v/>
      </c>
      <c r="AU51" t="str">
        <v/>
      </c>
      <c r="AV51" t="str">
        <v/>
      </c>
    </row>
    <row r="52">
      <c r="A52">
        <v>45778</v>
      </c>
      <c r="B52">
        <v>0.123</v>
      </c>
      <c r="C52">
        <v>0.116</v>
      </c>
      <c r="D52">
        <v>0.115</v>
      </c>
      <c r="E52">
        <v>0.13</v>
      </c>
      <c r="F52">
        <v>0.225</v>
      </c>
      <c r="G52">
        <v>0.128</v>
      </c>
      <c r="H52">
        <v>0.13</v>
      </c>
      <c r="I52">
        <v>0.117</v>
      </c>
      <c r="J52">
        <v>0.128</v>
      </c>
      <c r="K52">
        <v>0.131</v>
      </c>
      <c r="L52">
        <v>0.14</v>
      </c>
      <c r="M52">
        <v>0.215</v>
      </c>
      <c r="N52">
        <v>0.164</v>
      </c>
      <c r="O52">
        <v>0.125</v>
      </c>
      <c r="P52" t="str">
        <v/>
      </c>
      <c r="Q52">
        <v>0.109</v>
      </c>
      <c r="R52">
        <v>0.158</v>
      </c>
      <c r="S52">
        <v>0.103</v>
      </c>
      <c r="T52">
        <v>0.2</v>
      </c>
      <c r="U52">
        <v>0.145</v>
      </c>
      <c r="V52">
        <v>0.137</v>
      </c>
      <c r="W52">
        <v>0.166</v>
      </c>
      <c r="X52">
        <v>0.195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>
        <v>0.14545454545454548</v>
      </c>
      <c r="AT52" t="str">
        <v/>
      </c>
      <c r="AU52" t="str">
        <v/>
      </c>
      <c r="AV52" t="str">
        <v/>
      </c>
    </row>
    <row r="53">
      <c r="A53">
        <v>45809</v>
      </c>
      <c r="B53">
        <v>0.201</v>
      </c>
      <c r="C53">
        <v>0.109</v>
      </c>
      <c r="D53">
        <v>0.186</v>
      </c>
      <c r="E53">
        <v>0.229</v>
      </c>
      <c r="F53">
        <v>0.219</v>
      </c>
      <c r="G53">
        <v>0.215</v>
      </c>
      <c r="H53">
        <v>0.129</v>
      </c>
      <c r="I53">
        <v>0.084</v>
      </c>
      <c r="J53">
        <v>0.149</v>
      </c>
      <c r="K53">
        <v>0.168</v>
      </c>
      <c r="L53">
        <v>0.146</v>
      </c>
      <c r="M53">
        <v>0.213</v>
      </c>
      <c r="N53">
        <v>0.147</v>
      </c>
      <c r="O53">
        <v>0.221</v>
      </c>
      <c r="P53" t="str">
        <v/>
      </c>
      <c r="Q53">
        <v>0.134</v>
      </c>
      <c r="R53">
        <v>0.14</v>
      </c>
      <c r="S53">
        <v>0.116</v>
      </c>
      <c r="T53">
        <v>0.177</v>
      </c>
      <c r="U53">
        <v>0.129</v>
      </c>
      <c r="V53">
        <v>0.131</v>
      </c>
      <c r="W53">
        <v>0.159</v>
      </c>
      <c r="X53">
        <v>0.199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>
        <v>0.16368181818181818</v>
      </c>
      <c r="AT53" t="str">
        <v/>
      </c>
      <c r="AU53" t="str">
        <v/>
      </c>
      <c r="AV53" t="str">
        <v/>
      </c>
    </row>
    <row r="54">
      <c r="A54">
        <v>45839</v>
      </c>
      <c r="B54">
        <v>0.19</v>
      </c>
      <c r="C54">
        <v>0.106</v>
      </c>
      <c r="D54">
        <v>0.18</v>
      </c>
      <c r="E54">
        <v>0.223</v>
      </c>
      <c r="F54">
        <v>0.214</v>
      </c>
      <c r="G54">
        <v>0.223</v>
      </c>
      <c r="H54">
        <v>0.131</v>
      </c>
      <c r="I54">
        <v>0.149</v>
      </c>
      <c r="J54">
        <v>0.129</v>
      </c>
      <c r="K54">
        <v>0.165</v>
      </c>
      <c r="L54">
        <v>0.146</v>
      </c>
      <c r="M54">
        <v>0.21</v>
      </c>
      <c r="N54">
        <v>0.15</v>
      </c>
      <c r="O54">
        <v>0.212</v>
      </c>
      <c r="P54" t="str">
        <v/>
      </c>
      <c r="Q54">
        <v>0.132</v>
      </c>
      <c r="R54">
        <v>0.133</v>
      </c>
      <c r="S54">
        <v>0.127</v>
      </c>
      <c r="T54">
        <v>0.192</v>
      </c>
      <c r="U54">
        <v>0.123</v>
      </c>
      <c r="V54">
        <v>0.125</v>
      </c>
      <c r="W54">
        <v>0.132</v>
      </c>
      <c r="X54">
        <v>0.196</v>
      </c>
      <c r="Y54">
        <v>0.238</v>
      </c>
      <c r="Z54">
        <v>0.142</v>
      </c>
      <c r="AA54">
        <v>0.123</v>
      </c>
      <c r="AB54">
        <v>0.218</v>
      </c>
      <c r="AC54">
        <v>0.112</v>
      </c>
      <c r="AD54">
        <v>0.173</v>
      </c>
      <c r="AE54">
        <v>0.171</v>
      </c>
      <c r="AF54">
        <v>0.124</v>
      </c>
      <c r="AG54">
        <v>0.108</v>
      </c>
      <c r="AH54">
        <v>0.182</v>
      </c>
      <c r="AI54">
        <v>0.144</v>
      </c>
      <c r="AJ54">
        <v>0.217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>
        <v>0.16294117647058826</v>
      </c>
      <c r="AT54" t="str">
        <v/>
      </c>
      <c r="AU54" t="str">
        <v/>
      </c>
      <c r="AV54" t="str">
        <v/>
      </c>
    </row>
    <row r="55">
      <c r="A55">
        <v>45870</v>
      </c>
      <c r="B55">
        <v>0.185</v>
      </c>
      <c r="C55">
        <v>0.109</v>
      </c>
      <c r="D55">
        <v>0.176</v>
      </c>
      <c r="E55">
        <v>0.241</v>
      </c>
      <c r="F55">
        <v>0.218</v>
      </c>
      <c r="G55">
        <v>0.229</v>
      </c>
      <c r="H55">
        <v>0.125</v>
      </c>
      <c r="I55">
        <v>0.146</v>
      </c>
      <c r="J55">
        <v>0.137</v>
      </c>
      <c r="K55">
        <v>0.15</v>
      </c>
      <c r="L55">
        <v>0.139</v>
      </c>
      <c r="M55">
        <v>0.221</v>
      </c>
      <c r="N55">
        <v>0.154</v>
      </c>
      <c r="O55">
        <v>0.22</v>
      </c>
      <c r="P55" t="str">
        <v/>
      </c>
      <c r="Q55">
        <v>0.156</v>
      </c>
      <c r="R55">
        <v>0.134</v>
      </c>
      <c r="S55">
        <v>0.11</v>
      </c>
      <c r="T55">
        <v>0.242</v>
      </c>
      <c r="U55">
        <v>0.144</v>
      </c>
      <c r="V55">
        <v>0.125</v>
      </c>
      <c r="W55">
        <v>0.17</v>
      </c>
      <c r="X55">
        <v>0.199</v>
      </c>
      <c r="Y55">
        <v>0.251</v>
      </c>
      <c r="Z55">
        <v>0.141</v>
      </c>
      <c r="AA55">
        <v>0.125</v>
      </c>
      <c r="AB55">
        <v>0.221</v>
      </c>
      <c r="AC55">
        <v>0.115</v>
      </c>
      <c r="AD55">
        <v>0.19</v>
      </c>
      <c r="AE55">
        <v>0.174</v>
      </c>
      <c r="AF55">
        <v>0.137</v>
      </c>
      <c r="AG55">
        <v>0.126</v>
      </c>
      <c r="AH55">
        <v>0.177</v>
      </c>
      <c r="AI55">
        <v>0.149</v>
      </c>
      <c r="AJ55">
        <v>0.212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>
        <v>0.16905882352941173</v>
      </c>
      <c r="AT55" t="str">
        <v/>
      </c>
      <c r="AU55" t="str">
        <v/>
      </c>
      <c r="AV55" t="str">
        <v/>
      </c>
    </row>
    <row r="56">
      <c r="A56">
        <v>45901</v>
      </c>
      <c r="B56">
        <v>0.184</v>
      </c>
      <c r="C56">
        <v>0.107</v>
      </c>
      <c r="D56">
        <v>0.165</v>
      </c>
      <c r="E56">
        <v>0.223</v>
      </c>
      <c r="F56">
        <v>0.221</v>
      </c>
      <c r="G56">
        <v>0.224</v>
      </c>
      <c r="H56">
        <v>0.15</v>
      </c>
      <c r="I56">
        <v>0.116</v>
      </c>
      <c r="J56">
        <v>0.137</v>
      </c>
      <c r="K56">
        <v>0.153</v>
      </c>
      <c r="L56">
        <v>0.139</v>
      </c>
      <c r="M56">
        <v>0.222</v>
      </c>
      <c r="N56">
        <v>0.164</v>
      </c>
      <c r="O56">
        <v>0.223</v>
      </c>
      <c r="P56" t="str">
        <v/>
      </c>
      <c r="Q56">
        <v>0.149</v>
      </c>
      <c r="R56">
        <v>0.135</v>
      </c>
      <c r="S56">
        <v>0.116</v>
      </c>
      <c r="T56">
        <v>0.238</v>
      </c>
      <c r="U56">
        <v>0.193</v>
      </c>
      <c r="V56">
        <v>0.125</v>
      </c>
      <c r="W56">
        <v>0.16</v>
      </c>
      <c r="X56">
        <v>0.201</v>
      </c>
      <c r="Y56">
        <v>0.233</v>
      </c>
      <c r="Z56">
        <v>0.174</v>
      </c>
      <c r="AA56">
        <v>0.108</v>
      </c>
      <c r="AB56">
        <v>0.221</v>
      </c>
      <c r="AC56">
        <v>0.127</v>
      </c>
      <c r="AD56">
        <v>0.216</v>
      </c>
      <c r="AE56">
        <v>0.202</v>
      </c>
      <c r="AF56">
        <v>0.137</v>
      </c>
      <c r="AG56">
        <v>0.126</v>
      </c>
      <c r="AH56">
        <v>0.188</v>
      </c>
      <c r="AI56">
        <v>0.187</v>
      </c>
      <c r="AJ56">
        <v>0.237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>
        <v>0.1735588235294118</v>
      </c>
      <c r="AT56" t="str">
        <v/>
      </c>
      <c r="AU56" t="str">
        <v/>
      </c>
      <c r="AV56" t="str">
        <v/>
      </c>
    </row>
    <row r="57">
      <c r="A57">
        <v>45931</v>
      </c>
      <c r="B57">
        <v>0.122</v>
      </c>
      <c r="C57">
        <v>0.123</v>
      </c>
      <c r="D57">
        <v>0.111</v>
      </c>
      <c r="E57">
        <v>0.132</v>
      </c>
      <c r="F57">
        <v>0.221</v>
      </c>
      <c r="G57">
        <v>0.14</v>
      </c>
      <c r="H57">
        <v>0.125</v>
      </c>
      <c r="I57">
        <v>0.125</v>
      </c>
      <c r="J57">
        <v>0.135</v>
      </c>
      <c r="K57">
        <v>0.146</v>
      </c>
      <c r="L57">
        <v>0.146</v>
      </c>
      <c r="M57">
        <v>0.225</v>
      </c>
      <c r="N57">
        <v>0.157</v>
      </c>
      <c r="O57">
        <v>0.14</v>
      </c>
      <c r="P57" t="str">
        <v/>
      </c>
      <c r="Q57">
        <v>0.146</v>
      </c>
      <c r="R57">
        <v>0.153</v>
      </c>
      <c r="S57">
        <v>0.117</v>
      </c>
      <c r="T57">
        <v>0.244</v>
      </c>
      <c r="U57">
        <v>0.152</v>
      </c>
      <c r="V57">
        <v>0.151</v>
      </c>
      <c r="W57">
        <v>0.185</v>
      </c>
      <c r="X57">
        <v>0.198</v>
      </c>
      <c r="Y57">
        <v>0.243</v>
      </c>
      <c r="Z57">
        <v>0.175</v>
      </c>
      <c r="AA57">
        <v>0.117</v>
      </c>
      <c r="AB57">
        <v>0.134</v>
      </c>
      <c r="AC57">
        <v>0.128</v>
      </c>
      <c r="AD57">
        <v>0.214</v>
      </c>
      <c r="AE57">
        <v>0.205</v>
      </c>
      <c r="AF57">
        <v>0.135</v>
      </c>
      <c r="AG57">
        <v>0.128</v>
      </c>
      <c r="AH57">
        <v>0.241</v>
      </c>
      <c r="AI57">
        <v>0.162</v>
      </c>
      <c r="AJ57">
        <v>0.241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>
        <v>0.16226470588235292</v>
      </c>
      <c r="AT57" t="str">
        <v/>
      </c>
      <c r="AU57" t="str">
        <v/>
      </c>
      <c r="AV57" t="str">
        <v/>
      </c>
    </row>
    <row r="58">
      <c r="A58">
        <v>45962</v>
      </c>
      <c r="B58">
        <v>0.118</v>
      </c>
      <c r="C58">
        <v>0.121</v>
      </c>
      <c r="D58">
        <v>0.115</v>
      </c>
      <c r="E58">
        <v>0.125</v>
      </c>
      <c r="F58">
        <v>0.213</v>
      </c>
      <c r="G58">
        <v>0.14</v>
      </c>
      <c r="H58">
        <v>0.122</v>
      </c>
      <c r="I58">
        <v>0.206</v>
      </c>
      <c r="J58">
        <v>0.138</v>
      </c>
      <c r="K58">
        <v>0.142</v>
      </c>
      <c r="L58">
        <v>0.138</v>
      </c>
      <c r="M58">
        <v>0.212</v>
      </c>
      <c r="N58">
        <v>0.16</v>
      </c>
      <c r="O58">
        <v>0.151</v>
      </c>
      <c r="P58" t="str">
        <v/>
      </c>
      <c r="Q58">
        <v>0.192</v>
      </c>
      <c r="R58">
        <v>0.19</v>
      </c>
      <c r="S58">
        <v>0.131</v>
      </c>
      <c r="T58">
        <v>0.235</v>
      </c>
      <c r="U58">
        <v>0.15</v>
      </c>
      <c r="V58">
        <v>0.158</v>
      </c>
      <c r="W58">
        <v>0.169</v>
      </c>
      <c r="X58">
        <v>0.183</v>
      </c>
      <c r="Y58">
        <v>0.246</v>
      </c>
      <c r="Z58">
        <v>0.139</v>
      </c>
      <c r="AA58">
        <v>0.14</v>
      </c>
      <c r="AB58">
        <v>0.126</v>
      </c>
      <c r="AC58">
        <v>0.168</v>
      </c>
      <c r="AD58">
        <v>0.212</v>
      </c>
      <c r="AE58">
        <v>0.22</v>
      </c>
      <c r="AF58">
        <v>0.131</v>
      </c>
      <c r="AG58">
        <v>0.148</v>
      </c>
      <c r="AH58">
        <v>0.205</v>
      </c>
      <c r="AI58">
        <v>0.126</v>
      </c>
      <c r="AJ58">
        <v>0.295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>
        <v>0.1666176470588235</v>
      </c>
      <c r="AT58" t="str">
        <v/>
      </c>
      <c r="AU58" t="str">
        <v/>
      </c>
      <c r="AV58" t="str">
        <v/>
      </c>
    </row>
    <row r="59">
      <c r="A59">
        <v>45992</v>
      </c>
      <c r="B59">
        <v>0.115</v>
      </c>
      <c r="C59">
        <v>0.121</v>
      </c>
      <c r="D59">
        <v>0.114</v>
      </c>
      <c r="E59">
        <v>0.13</v>
      </c>
      <c r="F59">
        <v>0.184</v>
      </c>
      <c r="G59">
        <v>0.142</v>
      </c>
      <c r="H59">
        <v>0.135</v>
      </c>
      <c r="I59">
        <v>0.121</v>
      </c>
      <c r="J59">
        <v>0.112</v>
      </c>
      <c r="K59">
        <v>0.128</v>
      </c>
      <c r="L59">
        <v>0.113</v>
      </c>
      <c r="M59">
        <v>0.176</v>
      </c>
      <c r="N59">
        <v>0.178</v>
      </c>
      <c r="O59">
        <v>0.167</v>
      </c>
      <c r="P59">
        <v>0.114</v>
      </c>
      <c r="Q59">
        <v>0.131</v>
      </c>
      <c r="R59">
        <v>0.179</v>
      </c>
      <c r="S59">
        <v>0.131</v>
      </c>
      <c r="T59">
        <v>0.215</v>
      </c>
      <c r="U59">
        <v>0.15</v>
      </c>
      <c r="V59">
        <v>0.175</v>
      </c>
      <c r="W59">
        <v>0.16</v>
      </c>
      <c r="X59">
        <v>0.139</v>
      </c>
      <c r="Y59">
        <v>0.256</v>
      </c>
      <c r="Z59">
        <v>0.137</v>
      </c>
      <c r="AA59">
        <v>0.148</v>
      </c>
      <c r="AB59">
        <v>0.118</v>
      </c>
      <c r="AC59">
        <v>0.184</v>
      </c>
      <c r="AD59">
        <v>0.212</v>
      </c>
      <c r="AE59">
        <v>0.211</v>
      </c>
      <c r="AF59">
        <v>0.156</v>
      </c>
      <c r="AG59">
        <v>0.149</v>
      </c>
      <c r="AH59">
        <v>0.239</v>
      </c>
      <c r="AI59">
        <v>0.117</v>
      </c>
      <c r="AJ59">
        <v>0.235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>
        <v>0.1569142857142857</v>
      </c>
      <c r="AT59" t="str">
        <v/>
      </c>
      <c r="AU59" t="str">
        <v/>
      </c>
      <c r="AV59" t="str">
        <v/>
      </c>
    </row>
    <row r="60">
      <c r="A60">
        <v>46023</v>
      </c>
      <c r="B60">
        <v>0.12</v>
      </c>
      <c r="C60">
        <v>0.114</v>
      </c>
      <c r="D60">
        <v>0.119</v>
      </c>
      <c r="E60">
        <v>0.123</v>
      </c>
      <c r="F60">
        <v>0.178</v>
      </c>
      <c r="G60">
        <v>0.143</v>
      </c>
      <c r="H60">
        <v>0.132</v>
      </c>
      <c r="I60">
        <v>0.155</v>
      </c>
      <c r="J60">
        <v>0.122</v>
      </c>
      <c r="K60">
        <v>0.125</v>
      </c>
      <c r="L60">
        <v>0.115</v>
      </c>
      <c r="M60">
        <v>0.164</v>
      </c>
      <c r="N60">
        <v>0.176</v>
      </c>
      <c r="O60">
        <v>0.145</v>
      </c>
      <c r="P60">
        <v>0.117</v>
      </c>
      <c r="Q60">
        <v>0.154</v>
      </c>
      <c r="R60">
        <v>0.198</v>
      </c>
      <c r="S60">
        <v>0.129</v>
      </c>
      <c r="T60">
        <v>0.209</v>
      </c>
      <c r="U60">
        <v>0.159</v>
      </c>
      <c r="V60">
        <v>0.169</v>
      </c>
      <c r="W60">
        <v>0.15</v>
      </c>
      <c r="X60">
        <v>0.149</v>
      </c>
      <c r="Y60">
        <v>0.256</v>
      </c>
      <c r="Z60">
        <v>0.133</v>
      </c>
      <c r="AA60">
        <v>0.158</v>
      </c>
      <c r="AB60">
        <v>0.119</v>
      </c>
      <c r="AC60">
        <v>0.181</v>
      </c>
      <c r="AD60">
        <v>0.216</v>
      </c>
      <c r="AE60">
        <v>0.229</v>
      </c>
      <c r="AF60">
        <v>0.162</v>
      </c>
      <c r="AG60">
        <v>0.153</v>
      </c>
      <c r="AH60">
        <v>0.248</v>
      </c>
      <c r="AI60">
        <v>0.119</v>
      </c>
      <c r="AJ60">
        <v>0.23</v>
      </c>
      <c r="AK60">
        <v>0.124</v>
      </c>
      <c r="AL60">
        <v>0.104</v>
      </c>
      <c r="AM60" t="str">
        <v/>
      </c>
      <c r="AN60" t="str">
        <v/>
      </c>
      <c r="AO60" t="str">
        <v/>
      </c>
      <c r="AP60" t="str">
        <v/>
      </c>
      <c r="AQ60">
        <v>0.152</v>
      </c>
      <c r="AR60">
        <v>0.15</v>
      </c>
      <c r="AS60">
        <v>0.1567</v>
      </c>
      <c r="AT60" t="str">
        <v/>
      </c>
      <c r="AU60" t="str">
        <v/>
      </c>
      <c r="AV60" t="str">
        <v/>
      </c>
    </row>
    <row r="61">
      <c r="A61">
        <v>46054</v>
      </c>
      <c r="B61">
        <v>0.125</v>
      </c>
      <c r="C61">
        <v>0.125</v>
      </c>
      <c r="D61">
        <v>0.12</v>
      </c>
      <c r="E61">
        <v>0.124</v>
      </c>
      <c r="F61">
        <v>0.208</v>
      </c>
      <c r="G61">
        <v>0.146</v>
      </c>
      <c r="H61">
        <v>0.134</v>
      </c>
      <c r="I61">
        <v>0.16</v>
      </c>
      <c r="J61">
        <v>0.128</v>
      </c>
      <c r="K61">
        <v>0.149</v>
      </c>
      <c r="L61">
        <v>0.117</v>
      </c>
      <c r="M61">
        <v>0.179</v>
      </c>
      <c r="N61">
        <v>0.201</v>
      </c>
      <c r="O61">
        <v>0.163</v>
      </c>
      <c r="P61">
        <v>0.125</v>
      </c>
      <c r="Q61">
        <v>0.175</v>
      </c>
      <c r="R61">
        <v>0.204</v>
      </c>
      <c r="S61">
        <v>0.132</v>
      </c>
      <c r="T61">
        <v>0.245</v>
      </c>
      <c r="U61">
        <v>0.184</v>
      </c>
      <c r="V61">
        <v>0.176</v>
      </c>
      <c r="W61">
        <v>0.176</v>
      </c>
      <c r="X61">
        <v>0.147</v>
      </c>
      <c r="Y61">
        <v>0.248</v>
      </c>
      <c r="Z61">
        <v>0.181</v>
      </c>
      <c r="AA61">
        <v>0.173</v>
      </c>
      <c r="AB61">
        <v>0.123</v>
      </c>
      <c r="AC61">
        <v>0.196</v>
      </c>
      <c r="AD61">
        <v>0.221</v>
      </c>
      <c r="AE61">
        <v>0.228</v>
      </c>
      <c r="AF61">
        <v>0.165</v>
      </c>
      <c r="AG61">
        <v>0.154</v>
      </c>
      <c r="AH61">
        <v>0.247</v>
      </c>
      <c r="AI61">
        <v>0.13</v>
      </c>
      <c r="AJ61">
        <v>0.233</v>
      </c>
      <c r="AK61">
        <v>0.126</v>
      </c>
      <c r="AL61">
        <v>0.106</v>
      </c>
      <c r="AM61" t="str">
        <v/>
      </c>
      <c r="AN61">
        <v>0.186</v>
      </c>
      <c r="AO61" t="str">
        <v/>
      </c>
      <c r="AP61" t="str">
        <v/>
      </c>
      <c r="AQ61">
        <v>0.152</v>
      </c>
      <c r="AR61">
        <v>0.15</v>
      </c>
      <c r="AS61">
        <v>0.1674</v>
      </c>
      <c r="AT61" t="str">
        <v/>
      </c>
      <c r="AU61" t="str">
        <v/>
      </c>
      <c r="AV61" t="str">
        <v/>
      </c>
    </row>
    <row r="62">
      <c r="A62">
        <v>46082</v>
      </c>
      <c r="B62">
        <v>0.124</v>
      </c>
      <c r="C62">
        <v>0.13</v>
      </c>
      <c r="D62">
        <v>0.123</v>
      </c>
      <c r="E62">
        <v>0.118</v>
      </c>
      <c r="F62">
        <v>0.225</v>
      </c>
      <c r="G62">
        <v>0.141</v>
      </c>
      <c r="H62">
        <v>0.134</v>
      </c>
      <c r="I62">
        <v>0.167</v>
      </c>
      <c r="J62">
        <v>0.143</v>
      </c>
      <c r="K62">
        <v>0.144</v>
      </c>
      <c r="L62">
        <v>0.121</v>
      </c>
      <c r="M62">
        <v>0.176</v>
      </c>
      <c r="N62">
        <v>0.183</v>
      </c>
      <c r="O62">
        <v>0.15</v>
      </c>
      <c r="P62">
        <v>0.138</v>
      </c>
      <c r="Q62">
        <v>0.151</v>
      </c>
      <c r="R62">
        <v>0.201</v>
      </c>
      <c r="S62">
        <v>0.134</v>
      </c>
      <c r="T62">
        <v>0.242</v>
      </c>
      <c r="U62">
        <v>0.116</v>
      </c>
      <c r="V62">
        <v>0.16</v>
      </c>
      <c r="W62">
        <v>0.189</v>
      </c>
      <c r="X62">
        <v>0.196</v>
      </c>
      <c r="Y62">
        <v>0.219</v>
      </c>
      <c r="Z62">
        <v>0.158</v>
      </c>
      <c r="AA62">
        <v>0.147</v>
      </c>
      <c r="AB62">
        <v>0.122</v>
      </c>
      <c r="AC62">
        <v>0.184</v>
      </c>
      <c r="AD62">
        <v>0.217</v>
      </c>
      <c r="AE62">
        <v>0.221</v>
      </c>
      <c r="AF62">
        <v>0.14</v>
      </c>
      <c r="AG62">
        <v>0.148</v>
      </c>
      <c r="AH62">
        <v>0.24</v>
      </c>
      <c r="AI62">
        <v>0.149</v>
      </c>
      <c r="AJ62">
        <v>0.221</v>
      </c>
      <c r="AK62">
        <v>0.121</v>
      </c>
      <c r="AL62">
        <v>0.101</v>
      </c>
      <c r="AM62" t="str">
        <v/>
      </c>
      <c r="AN62">
        <v>0.206</v>
      </c>
      <c r="AO62" t="str">
        <v/>
      </c>
      <c r="AP62">
        <v>0.216</v>
      </c>
      <c r="AQ62">
        <v>0.152</v>
      </c>
      <c r="AR62">
        <v>0.15</v>
      </c>
      <c r="AS62">
        <v>0.1645</v>
      </c>
      <c r="AT62" t="str">
        <v/>
      </c>
      <c r="AU62" t="str">
        <v/>
      </c>
      <c r="AV62" t="str">
        <v/>
      </c>
    </row>
    <row r="63">
      <c r="A63">
        <v>46113</v>
      </c>
      <c r="B63">
        <v>0.129</v>
      </c>
      <c r="C63">
        <v>0.123</v>
      </c>
      <c r="D63">
        <v>0.117</v>
      </c>
      <c r="E63">
        <v>0.143</v>
      </c>
      <c r="F63">
        <v>0.231</v>
      </c>
      <c r="G63">
        <v>0.145</v>
      </c>
      <c r="H63">
        <v>0.131</v>
      </c>
      <c r="I63">
        <v>0.141</v>
      </c>
      <c r="J63">
        <v>0.142</v>
      </c>
      <c r="K63">
        <v>0.156</v>
      </c>
      <c r="L63">
        <v>0.137</v>
      </c>
      <c r="M63">
        <v>0.217</v>
      </c>
      <c r="N63">
        <v>0.169</v>
      </c>
      <c r="O63">
        <v>0.147</v>
      </c>
      <c r="P63">
        <v>0.117</v>
      </c>
      <c r="Q63">
        <v>0.147</v>
      </c>
      <c r="R63">
        <v>0.191</v>
      </c>
      <c r="S63">
        <v>0.111</v>
      </c>
      <c r="T63">
        <v>0.242</v>
      </c>
      <c r="U63">
        <v>0.096</v>
      </c>
      <c r="V63">
        <v>0.171</v>
      </c>
      <c r="W63">
        <v>0.205</v>
      </c>
      <c r="X63">
        <v>0.185</v>
      </c>
      <c r="Y63">
        <v>0.174</v>
      </c>
      <c r="Z63">
        <v>0.148</v>
      </c>
      <c r="AA63">
        <v>0.14</v>
      </c>
      <c r="AB63">
        <v>0.13</v>
      </c>
      <c r="AC63">
        <v>0.16</v>
      </c>
      <c r="AD63">
        <v>0.223</v>
      </c>
      <c r="AE63">
        <v>0.226</v>
      </c>
      <c r="AF63">
        <v>0.143</v>
      </c>
      <c r="AG63">
        <v>0.148</v>
      </c>
      <c r="AH63">
        <v>0.242</v>
      </c>
      <c r="AI63">
        <v>0.17</v>
      </c>
      <c r="AJ63">
        <v>0.208</v>
      </c>
      <c r="AK63">
        <v>0.132</v>
      </c>
      <c r="AL63">
        <v>0.102</v>
      </c>
      <c r="AM63" t="str">
        <v/>
      </c>
      <c r="AN63">
        <v>0.221</v>
      </c>
      <c r="AO63">
        <v>0.156</v>
      </c>
      <c r="AP63">
        <v>0.213</v>
      </c>
      <c r="AQ63">
        <v>0.152</v>
      </c>
      <c r="AR63">
        <v>0.15</v>
      </c>
      <c r="AS63">
        <v>0.1632</v>
      </c>
      <c r="AT63" t="str">
        <v/>
      </c>
      <c r="AU63" t="str">
        <v/>
      </c>
      <c r="AV63" t="str">
        <v/>
      </c>
    </row>
    <row r="64">
      <c r="A64">
        <v>46143</v>
      </c>
      <c r="B64">
        <v>0.121</v>
      </c>
      <c r="C64">
        <v>0.116</v>
      </c>
      <c r="D64">
        <v>0.112</v>
      </c>
      <c r="E64">
        <v>0.127</v>
      </c>
      <c r="F64">
        <v>0.216</v>
      </c>
      <c r="G64">
        <v>0.136</v>
      </c>
      <c r="H64">
        <v>0.123</v>
      </c>
      <c r="I64">
        <v>0.123</v>
      </c>
      <c r="J64">
        <v>0.137</v>
      </c>
      <c r="K64">
        <v>0.154</v>
      </c>
      <c r="L64">
        <v>0.129</v>
      </c>
      <c r="M64">
        <v>0.191</v>
      </c>
      <c r="N64">
        <v>0.147</v>
      </c>
      <c r="O64">
        <v>0.128</v>
      </c>
      <c r="P64">
        <v>0.127</v>
      </c>
      <c r="Q64">
        <v>0.168</v>
      </c>
      <c r="R64">
        <v>0.178</v>
      </c>
      <c r="S64">
        <v>0.116</v>
      </c>
      <c r="T64">
        <v>0.224</v>
      </c>
      <c r="U64">
        <v>0.137</v>
      </c>
      <c r="V64">
        <v>0.156</v>
      </c>
      <c r="W64">
        <v>0.203</v>
      </c>
      <c r="X64">
        <v>0.172</v>
      </c>
      <c r="Y64">
        <v>0.191</v>
      </c>
      <c r="Z64">
        <v>0.157</v>
      </c>
      <c r="AA64">
        <v>0.128</v>
      </c>
      <c r="AB64">
        <v>0.123</v>
      </c>
      <c r="AC64">
        <v>0.152</v>
      </c>
      <c r="AD64">
        <v>0.217</v>
      </c>
      <c r="AE64">
        <v>0.22</v>
      </c>
      <c r="AF64">
        <v>0.131</v>
      </c>
      <c r="AG64">
        <v>0.128</v>
      </c>
      <c r="AH64">
        <v>0.238</v>
      </c>
      <c r="AI64">
        <v>0.183</v>
      </c>
      <c r="AJ64">
        <v>0.252</v>
      </c>
      <c r="AK64">
        <v>0.13</v>
      </c>
      <c r="AL64">
        <v>0.108</v>
      </c>
      <c r="AM64">
        <v>0.129</v>
      </c>
      <c r="AN64">
        <v>0.212</v>
      </c>
      <c r="AO64">
        <v>0.155</v>
      </c>
      <c r="AP64">
        <v>0.227</v>
      </c>
      <c r="AQ64">
        <v>0.152</v>
      </c>
      <c r="AR64">
        <v>0.15</v>
      </c>
      <c r="AS64">
        <v>0.1591</v>
      </c>
      <c r="AT64" t="str">
        <v/>
      </c>
      <c r="AU64" t="str">
        <v/>
      </c>
      <c r="AV64" t="str">
        <v/>
      </c>
    </row>
    <row r="65">
      <c r="A65">
        <v>46174</v>
      </c>
      <c r="B65">
        <v>0.192</v>
      </c>
      <c r="C65">
        <v>0.116</v>
      </c>
      <c r="D65">
        <v>0.178</v>
      </c>
      <c r="E65">
        <v>0.219</v>
      </c>
      <c r="F65">
        <v>0.218</v>
      </c>
      <c r="G65">
        <v>0.223</v>
      </c>
      <c r="H65">
        <v>0.123</v>
      </c>
      <c r="I65">
        <v>0.128</v>
      </c>
      <c r="J65">
        <v>0.137</v>
      </c>
      <c r="K65">
        <v>0.16</v>
      </c>
      <c r="L65">
        <v>0.131</v>
      </c>
      <c r="M65">
        <v>0.178</v>
      </c>
      <c r="N65">
        <v>0.141</v>
      </c>
      <c r="O65">
        <v>0.22</v>
      </c>
      <c r="P65">
        <v>0.127</v>
      </c>
      <c r="Q65">
        <v>0.187</v>
      </c>
      <c r="R65">
        <v>0.148</v>
      </c>
      <c r="S65">
        <v>0.111</v>
      </c>
      <c r="T65">
        <v>0.234</v>
      </c>
      <c r="U65">
        <v>0.137</v>
      </c>
      <c r="V65">
        <v>0.149</v>
      </c>
      <c r="W65">
        <v>0.202</v>
      </c>
      <c r="X65">
        <v>0.172</v>
      </c>
      <c r="Y65">
        <v>0.215</v>
      </c>
      <c r="Z65">
        <v>0.157</v>
      </c>
      <c r="AA65">
        <v>0.109</v>
      </c>
      <c r="AB65">
        <v>0.219</v>
      </c>
      <c r="AC65">
        <v>0.135</v>
      </c>
      <c r="AD65">
        <v>0.219</v>
      </c>
      <c r="AE65">
        <v>0.216</v>
      </c>
      <c r="AF65">
        <v>0.136</v>
      </c>
      <c r="AG65">
        <v>0.128</v>
      </c>
      <c r="AH65">
        <v>0.241</v>
      </c>
      <c r="AI65">
        <v>0.2</v>
      </c>
      <c r="AJ65">
        <v>0.229</v>
      </c>
      <c r="AK65">
        <v>0.13</v>
      </c>
      <c r="AL65">
        <v>0.108</v>
      </c>
      <c r="AM65">
        <v>0.144</v>
      </c>
      <c r="AN65">
        <v>0.162</v>
      </c>
      <c r="AO65">
        <v>0.241</v>
      </c>
      <c r="AP65">
        <v>0.229</v>
      </c>
      <c r="AQ65">
        <v>0.152</v>
      </c>
      <c r="AR65">
        <v>0.15</v>
      </c>
      <c r="AS65">
        <v>0.1719</v>
      </c>
      <c r="AT65" t="str">
        <v/>
      </c>
      <c r="AU65" t="str">
        <v/>
      </c>
      <c r="A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</row>
    <row r="69">
      <c r="A69" t="str">
        <v>*Data for yellow cells was not available. I copied the value from the previous month.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</row>
  </sheetData>
  <ignoredErrors>
    <ignoredError numberStoredAsText="1" sqref="A1:AV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S96"/>
  <sheetViews>
    <sheetView workbookViewId="0" rightToLeft="0"/>
  </sheetViews>
  <sheetData>
    <row r="1">
      <c r="A1" t="str">
        <v>Monthly Cherry Street Rates ($/kWh)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Test Lab Annex</v>
      </c>
      <c r="AS2" t="str">
        <v>AVERAGE</v>
      </c>
    </row>
    <row r="3">
      <c r="A3">
        <v>44287</v>
      </c>
      <c r="B3">
        <v>0.07</v>
      </c>
      <c r="C3">
        <v>0.07</v>
      </c>
      <c r="D3">
        <v>0.07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>
        <v>0.07</v>
      </c>
    </row>
    <row r="4">
      <c r="A4">
        <v>44317</v>
      </c>
      <c r="B4">
        <v>0.07</v>
      </c>
      <c r="C4">
        <v>0.07</v>
      </c>
      <c r="D4">
        <v>0.07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>
        <v>0.07</v>
      </c>
    </row>
    <row r="5">
      <c r="A5">
        <v>44348</v>
      </c>
      <c r="B5">
        <v>0.07</v>
      </c>
      <c r="C5">
        <v>0.07</v>
      </c>
      <c r="D5">
        <v>0.07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>
        <v>0.07</v>
      </c>
    </row>
    <row r="6">
      <c r="A6">
        <v>44378</v>
      </c>
      <c r="B6">
        <v>0.07</v>
      </c>
      <c r="C6">
        <v>0.07</v>
      </c>
      <c r="D6">
        <v>0.07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>
        <v>0.07</v>
      </c>
    </row>
    <row r="7">
      <c r="A7">
        <v>44409</v>
      </c>
      <c r="B7">
        <v>0.07</v>
      </c>
      <c r="C7">
        <v>0.07</v>
      </c>
      <c r="D7">
        <v>0.07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>
        <v>0.07</v>
      </c>
    </row>
    <row r="8">
      <c r="A8">
        <v>44440</v>
      </c>
      <c r="B8">
        <v>0.07</v>
      </c>
      <c r="C8">
        <v>0.07</v>
      </c>
      <c r="D8">
        <v>0.07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>
        <v>0.07</v>
      </c>
    </row>
    <row r="9">
      <c r="A9">
        <v>44470</v>
      </c>
      <c r="B9">
        <v>0.07</v>
      </c>
      <c r="C9">
        <v>0.07</v>
      </c>
      <c r="D9">
        <v>0.07</v>
      </c>
      <c r="E9">
        <v>0.07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>
        <v>0.07</v>
      </c>
    </row>
    <row r="10">
      <c r="A10">
        <v>44501</v>
      </c>
      <c r="B10">
        <v>0.07</v>
      </c>
      <c r="C10">
        <v>0.07</v>
      </c>
      <c r="D10">
        <v>0.07</v>
      </c>
      <c r="E10">
        <v>0.07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>
        <v>0.07</v>
      </c>
    </row>
    <row r="11">
      <c r="A11">
        <v>44531</v>
      </c>
      <c r="B11">
        <v>0.07</v>
      </c>
      <c r="C11">
        <v>0.07</v>
      </c>
      <c r="D11">
        <v>0.07</v>
      </c>
      <c r="E11">
        <v>0.07</v>
      </c>
      <c r="F11">
        <v>0.07</v>
      </c>
      <c r="G11">
        <v>0.07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>
        <v>0.07</v>
      </c>
    </row>
    <row r="12">
      <c r="A12">
        <v>44562</v>
      </c>
      <c r="B12">
        <v>0.07</v>
      </c>
      <c r="C12">
        <v>0.07</v>
      </c>
      <c r="D12">
        <v>0.07</v>
      </c>
      <c r="E12">
        <v>0.07</v>
      </c>
      <c r="F12">
        <v>0.07</v>
      </c>
      <c r="G12">
        <v>0.07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>
        <v>0.07</v>
      </c>
    </row>
    <row r="13">
      <c r="A13">
        <v>44593</v>
      </c>
      <c r="B13">
        <v>0.07</v>
      </c>
      <c r="C13">
        <v>0.07</v>
      </c>
      <c r="D13">
        <v>0.07</v>
      </c>
      <c r="E13">
        <v>0.07</v>
      </c>
      <c r="F13">
        <v>0.07</v>
      </c>
      <c r="G13">
        <v>0.07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>
        <v>0.07</v>
      </c>
    </row>
    <row r="14">
      <c r="A14">
        <v>44621</v>
      </c>
      <c r="B14">
        <v>0.07</v>
      </c>
      <c r="C14">
        <v>0.07</v>
      </c>
      <c r="D14">
        <v>0.07</v>
      </c>
      <c r="E14">
        <v>0.07</v>
      </c>
      <c r="F14">
        <v>0.07</v>
      </c>
      <c r="G14">
        <v>0.07</v>
      </c>
      <c r="H14">
        <v>0.07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>
        <v>0.07</v>
      </c>
    </row>
    <row r="15">
      <c r="A15">
        <v>44652</v>
      </c>
      <c r="B15">
        <v>0.0711</v>
      </c>
      <c r="C15">
        <v>0.0711</v>
      </c>
      <c r="D15">
        <v>0.0711</v>
      </c>
      <c r="E15">
        <v>0.07</v>
      </c>
      <c r="F15">
        <v>0.07</v>
      </c>
      <c r="G15">
        <v>0.07</v>
      </c>
      <c r="H15">
        <v>0.07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>
        <v>0.07047142857142857</v>
      </c>
    </row>
    <row r="16">
      <c r="A16">
        <v>44682</v>
      </c>
      <c r="B16">
        <v>0.0711</v>
      </c>
      <c r="C16">
        <v>0.0711</v>
      </c>
      <c r="D16">
        <v>0.0711</v>
      </c>
      <c r="E16">
        <v>0.07</v>
      </c>
      <c r="F16">
        <v>0.07</v>
      </c>
      <c r="G16">
        <v>0.07</v>
      </c>
      <c r="H16">
        <v>0.07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>
        <v>0.07047142857142857</v>
      </c>
    </row>
    <row r="17">
      <c r="A17">
        <v>44713</v>
      </c>
      <c r="B17">
        <v>0.0711</v>
      </c>
      <c r="C17">
        <v>0.0711</v>
      </c>
      <c r="D17">
        <v>0.0711</v>
      </c>
      <c r="E17">
        <v>0.07</v>
      </c>
      <c r="F17">
        <v>0.07</v>
      </c>
      <c r="G17">
        <v>0.07</v>
      </c>
      <c r="H17">
        <v>0.07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>
        <v>0.07047142857142857</v>
      </c>
    </row>
    <row r="18">
      <c r="A18">
        <v>44743</v>
      </c>
      <c r="B18">
        <v>0.0711</v>
      </c>
      <c r="C18">
        <v>0.0711</v>
      </c>
      <c r="D18">
        <v>0.0711</v>
      </c>
      <c r="E18">
        <v>0.07</v>
      </c>
      <c r="F18">
        <v>0.07</v>
      </c>
      <c r="G18">
        <v>0.07</v>
      </c>
      <c r="H18">
        <v>0.07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>
        <v>0.07047142857142857</v>
      </c>
    </row>
    <row r="19">
      <c r="A19">
        <v>44774</v>
      </c>
      <c r="B19">
        <v>0.0711</v>
      </c>
      <c r="C19">
        <v>0.0711</v>
      </c>
      <c r="D19">
        <v>0.0711</v>
      </c>
      <c r="E19">
        <v>0.07</v>
      </c>
      <c r="F19">
        <v>0.07</v>
      </c>
      <c r="G19">
        <v>0.07</v>
      </c>
      <c r="H19">
        <v>0.07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>
        <v>0.07047142857142857</v>
      </c>
    </row>
    <row r="20">
      <c r="A20">
        <v>44805</v>
      </c>
      <c r="B20">
        <v>0.0711</v>
      </c>
      <c r="C20">
        <v>0.0711</v>
      </c>
      <c r="D20">
        <v>0.0711</v>
      </c>
      <c r="E20">
        <v>0.07</v>
      </c>
      <c r="F20">
        <v>0.07</v>
      </c>
      <c r="G20">
        <v>0.07</v>
      </c>
      <c r="H20">
        <v>0.07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>
        <v>0.07047142857142857</v>
      </c>
    </row>
    <row r="21">
      <c r="A21">
        <v>44835</v>
      </c>
      <c r="B21">
        <v>0.0711</v>
      </c>
      <c r="C21">
        <v>0.0711</v>
      </c>
      <c r="D21">
        <v>0.0711</v>
      </c>
      <c r="E21">
        <v>0.0711</v>
      </c>
      <c r="F21">
        <v>0.07</v>
      </c>
      <c r="G21">
        <v>0.07</v>
      </c>
      <c r="H21">
        <v>0.07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>
        <v>0.07062857142857143</v>
      </c>
    </row>
    <row r="22">
      <c r="A22">
        <v>44866</v>
      </c>
      <c r="B22">
        <v>0.0711</v>
      </c>
      <c r="C22">
        <v>0.0711</v>
      </c>
      <c r="D22">
        <v>0.0711</v>
      </c>
      <c r="E22">
        <v>0.0711</v>
      </c>
      <c r="F22">
        <v>0.07</v>
      </c>
      <c r="G22">
        <v>0.07</v>
      </c>
      <c r="H22">
        <v>0.07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>
        <v>0.07062857142857143</v>
      </c>
    </row>
    <row r="23">
      <c r="A23">
        <v>44896</v>
      </c>
      <c r="B23">
        <v>0.0711</v>
      </c>
      <c r="C23">
        <v>0.0711</v>
      </c>
      <c r="D23">
        <v>0.0711</v>
      </c>
      <c r="E23">
        <v>0.0711</v>
      </c>
      <c r="F23">
        <v>0.0711</v>
      </c>
      <c r="G23">
        <v>0.0711</v>
      </c>
      <c r="H23">
        <v>0.07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>
        <v>0.07094285714285714</v>
      </c>
    </row>
    <row r="24">
      <c r="A24">
        <v>44927</v>
      </c>
      <c r="B24">
        <v>0.0711</v>
      </c>
      <c r="C24">
        <v>0.0711</v>
      </c>
      <c r="D24">
        <v>0.0711</v>
      </c>
      <c r="E24">
        <v>0.0711</v>
      </c>
      <c r="F24">
        <v>0.0711</v>
      </c>
      <c r="G24">
        <v>0.0711</v>
      </c>
      <c r="H24">
        <v>0.07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>
        <v>0.07094285714285714</v>
      </c>
    </row>
    <row r="25">
      <c r="A25">
        <v>44958</v>
      </c>
      <c r="B25">
        <v>0.0711</v>
      </c>
      <c r="C25">
        <v>0.0711</v>
      </c>
      <c r="D25">
        <v>0.0711</v>
      </c>
      <c r="E25">
        <v>0.0711</v>
      </c>
      <c r="F25">
        <v>0.0711</v>
      </c>
      <c r="G25">
        <v>0.0711</v>
      </c>
      <c r="H25">
        <v>0.07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>
        <v>0.07094285714285714</v>
      </c>
    </row>
    <row r="26">
      <c r="A26">
        <v>44986</v>
      </c>
      <c r="B26">
        <v>0.0711</v>
      </c>
      <c r="C26">
        <v>0.0711</v>
      </c>
      <c r="D26">
        <v>0.0711</v>
      </c>
      <c r="E26">
        <v>0.0711</v>
      </c>
      <c r="F26">
        <v>0.0711</v>
      </c>
      <c r="G26">
        <v>0.0711</v>
      </c>
      <c r="H26">
        <v>0.0711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>
        <v>0.0711</v>
      </c>
    </row>
    <row r="27">
      <c r="A27">
        <v>45017</v>
      </c>
      <c r="B27">
        <v>0.0721</v>
      </c>
      <c r="C27">
        <v>0.0721</v>
      </c>
      <c r="D27">
        <v>0.0721</v>
      </c>
      <c r="E27">
        <v>0.0711</v>
      </c>
      <c r="F27">
        <v>0.0711</v>
      </c>
      <c r="G27">
        <v>0.0711</v>
      </c>
      <c r="H27">
        <v>0.0711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>
        <v>0.07152857142857141</v>
      </c>
    </row>
    <row r="28">
      <c r="A28">
        <v>45047</v>
      </c>
      <c r="B28">
        <v>0.0721</v>
      </c>
      <c r="C28">
        <v>0.0721</v>
      </c>
      <c r="D28">
        <v>0.0721</v>
      </c>
      <c r="E28">
        <v>0.0711</v>
      </c>
      <c r="F28">
        <v>0.0711</v>
      </c>
      <c r="G28">
        <v>0.0711</v>
      </c>
      <c r="H28">
        <v>0.0711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>
        <v>0.07152857142857141</v>
      </c>
    </row>
    <row r="29">
      <c r="A29">
        <v>45078</v>
      </c>
      <c r="B29">
        <v>0.0721</v>
      </c>
      <c r="C29">
        <v>0.0721</v>
      </c>
      <c r="D29">
        <v>0.0721</v>
      </c>
      <c r="E29">
        <v>0.0711</v>
      </c>
      <c r="F29">
        <v>0.0711</v>
      </c>
      <c r="G29">
        <v>0.0711</v>
      </c>
      <c r="H29">
        <v>0.0711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>
        <v>0.07152857142857141</v>
      </c>
    </row>
    <row r="30">
      <c r="A30">
        <v>45108</v>
      </c>
      <c r="B30">
        <v>0.0721</v>
      </c>
      <c r="C30">
        <v>0.0721</v>
      </c>
      <c r="D30">
        <v>0.0721</v>
      </c>
      <c r="E30">
        <v>0.0711</v>
      </c>
      <c r="F30">
        <v>0.0711</v>
      </c>
      <c r="G30">
        <v>0.0711</v>
      </c>
      <c r="H30">
        <v>0.0711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>
        <v>0.07152857142857141</v>
      </c>
    </row>
    <row r="31">
      <c r="A31">
        <v>45139</v>
      </c>
      <c r="B31">
        <v>0.0721</v>
      </c>
      <c r="C31">
        <v>0.0721</v>
      </c>
      <c r="D31">
        <v>0.0721</v>
      </c>
      <c r="E31">
        <v>0.0711</v>
      </c>
      <c r="F31">
        <v>0.0711</v>
      </c>
      <c r="G31">
        <v>0.0711</v>
      </c>
      <c r="H31">
        <v>0.0711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>
        <v>0.07152857142857141</v>
      </c>
    </row>
    <row r="32">
      <c r="A32">
        <v>45170</v>
      </c>
      <c r="B32">
        <v>0.0721</v>
      </c>
      <c r="C32">
        <v>0.0721</v>
      </c>
      <c r="D32">
        <v>0.0721</v>
      </c>
      <c r="E32">
        <v>0.0711</v>
      </c>
      <c r="F32">
        <v>0.0711</v>
      </c>
      <c r="G32">
        <v>0.0711</v>
      </c>
      <c r="H32">
        <v>0.0711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>
        <v>0.07152857142857141</v>
      </c>
    </row>
    <row r="33">
      <c r="A33">
        <v>45200</v>
      </c>
      <c r="B33">
        <v>0.0721</v>
      </c>
      <c r="C33">
        <v>0.0721</v>
      </c>
      <c r="D33">
        <v>0.0721</v>
      </c>
      <c r="E33">
        <v>0.0721</v>
      </c>
      <c r="F33">
        <v>0.0711</v>
      </c>
      <c r="G33">
        <v>0.0711</v>
      </c>
      <c r="H33">
        <v>0.0711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>
        <v>0.07167142857142858</v>
      </c>
    </row>
    <row r="34">
      <c r="A34">
        <v>45231</v>
      </c>
      <c r="B34">
        <v>0.0721</v>
      </c>
      <c r="C34">
        <v>0.0721</v>
      </c>
      <c r="D34">
        <v>0.0721</v>
      </c>
      <c r="E34">
        <v>0.0721</v>
      </c>
      <c r="F34">
        <v>0.0711</v>
      </c>
      <c r="G34">
        <v>0.0711</v>
      </c>
      <c r="H34">
        <v>0.0711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>
        <v>0.07167142857142858</v>
      </c>
    </row>
    <row r="35">
      <c r="A35">
        <v>45261</v>
      </c>
      <c r="B35">
        <v>0.0721</v>
      </c>
      <c r="C35">
        <v>0.0721</v>
      </c>
      <c r="D35">
        <v>0.0721</v>
      </c>
      <c r="E35">
        <v>0.0721</v>
      </c>
      <c r="F35">
        <v>0.0721</v>
      </c>
      <c r="G35">
        <v>0.0721</v>
      </c>
      <c r="H35">
        <v>0.0711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>
        <v>0.07195714285714286</v>
      </c>
    </row>
    <row r="36">
      <c r="A36">
        <v>45292</v>
      </c>
      <c r="B36">
        <v>0.0721</v>
      </c>
      <c r="C36">
        <v>0.0721</v>
      </c>
      <c r="D36">
        <v>0.0721</v>
      </c>
      <c r="E36">
        <v>0.0721</v>
      </c>
      <c r="F36">
        <v>0.0721</v>
      </c>
      <c r="G36">
        <v>0.0721</v>
      </c>
      <c r="H36">
        <v>0.0711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>
        <v>0.07195714285714286</v>
      </c>
    </row>
    <row r="37">
      <c r="A37">
        <v>45323</v>
      </c>
      <c r="B37">
        <v>0.0721</v>
      </c>
      <c r="C37">
        <v>0.0721</v>
      </c>
      <c r="D37">
        <v>0.0721</v>
      </c>
      <c r="E37">
        <v>0.0721</v>
      </c>
      <c r="F37">
        <v>0.0721</v>
      </c>
      <c r="G37">
        <v>0.0721</v>
      </c>
      <c r="H37">
        <v>0.0711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>
        <v>0.07195714285714286</v>
      </c>
    </row>
    <row r="38">
      <c r="A38">
        <v>45352</v>
      </c>
      <c r="B38">
        <v>0.0721</v>
      </c>
      <c r="C38">
        <v>0.0721</v>
      </c>
      <c r="D38">
        <v>0.0721</v>
      </c>
      <c r="E38">
        <v>0.0721</v>
      </c>
      <c r="F38">
        <v>0.0721</v>
      </c>
      <c r="G38">
        <v>0.0721</v>
      </c>
      <c r="H38">
        <v>0.0721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>
        <v>0.07209999999999998</v>
      </c>
    </row>
    <row r="39">
      <c r="A39">
        <v>45383</v>
      </c>
      <c r="B39">
        <v>0.0732</v>
      </c>
      <c r="C39">
        <v>0.0732</v>
      </c>
      <c r="D39">
        <v>0.0732</v>
      </c>
      <c r="E39">
        <v>0.0721</v>
      </c>
      <c r="F39">
        <v>0.0721</v>
      </c>
      <c r="G39">
        <v>0.0721</v>
      </c>
      <c r="H39">
        <v>0.0721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>
        <v>0.07257142857142858</v>
      </c>
    </row>
    <row r="40">
      <c r="A40">
        <v>45413</v>
      </c>
      <c r="B40">
        <v>0.0732</v>
      </c>
      <c r="C40">
        <v>0.0732</v>
      </c>
      <c r="D40">
        <v>0.0732</v>
      </c>
      <c r="E40">
        <v>0.0721</v>
      </c>
      <c r="F40">
        <v>0.0721</v>
      </c>
      <c r="G40">
        <v>0.0721</v>
      </c>
      <c r="H40">
        <v>0.0721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>
        <v>0.07257142857142858</v>
      </c>
    </row>
    <row r="41">
      <c r="A41">
        <v>45444</v>
      </c>
      <c r="B41">
        <v>0.0732</v>
      </c>
      <c r="C41">
        <v>0.0732</v>
      </c>
      <c r="D41">
        <v>0.0732</v>
      </c>
      <c r="E41">
        <v>0.0721</v>
      </c>
      <c r="F41">
        <v>0.0721</v>
      </c>
      <c r="G41">
        <v>0.0721</v>
      </c>
      <c r="H41">
        <v>0.0721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>
        <v>0.07257142857142858</v>
      </c>
    </row>
    <row r="42">
      <c r="A42">
        <v>45474</v>
      </c>
      <c r="B42">
        <v>0.0732</v>
      </c>
      <c r="C42">
        <v>0.0732</v>
      </c>
      <c r="D42">
        <v>0.0732</v>
      </c>
      <c r="E42">
        <v>0.0721</v>
      </c>
      <c r="F42">
        <v>0.0721</v>
      </c>
      <c r="G42">
        <v>0.0721</v>
      </c>
      <c r="H42">
        <v>0.0721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>
        <v>0.07257142857142858</v>
      </c>
    </row>
    <row r="43">
      <c r="A43">
        <v>45505</v>
      </c>
      <c r="B43">
        <v>0.0732</v>
      </c>
      <c r="C43">
        <v>0.0732</v>
      </c>
      <c r="D43">
        <v>0.0732</v>
      </c>
      <c r="E43">
        <v>0.0721</v>
      </c>
      <c r="F43">
        <v>0.0721</v>
      </c>
      <c r="G43">
        <v>0.0721</v>
      </c>
      <c r="H43">
        <v>0.0721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>
        <v>0.07257142857142858</v>
      </c>
    </row>
    <row r="44">
      <c r="A44">
        <v>45536</v>
      </c>
      <c r="B44">
        <v>0.0732</v>
      </c>
      <c r="C44">
        <v>0.0732</v>
      </c>
      <c r="D44">
        <v>0.0732</v>
      </c>
      <c r="E44">
        <v>0.0721</v>
      </c>
      <c r="F44">
        <v>0.0721</v>
      </c>
      <c r="G44">
        <v>0.0721</v>
      </c>
      <c r="H44">
        <v>0.0721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>
        <v>0.07257142857142858</v>
      </c>
    </row>
    <row r="45">
      <c r="A45">
        <v>45566</v>
      </c>
      <c r="B45">
        <v>0.0732</v>
      </c>
      <c r="C45">
        <v>0.0732</v>
      </c>
      <c r="D45">
        <v>0.0732</v>
      </c>
      <c r="E45">
        <v>0.0732</v>
      </c>
      <c r="F45">
        <v>0.0721</v>
      </c>
      <c r="G45">
        <v>0.0721</v>
      </c>
      <c r="H45">
        <v>0.0721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>
        <v>0.07272857142857143</v>
      </c>
    </row>
    <row r="46">
      <c r="A46">
        <v>45597</v>
      </c>
      <c r="B46">
        <v>0.0732</v>
      </c>
      <c r="C46">
        <v>0.0732</v>
      </c>
      <c r="D46">
        <v>0.0732</v>
      </c>
      <c r="E46">
        <v>0.0732</v>
      </c>
      <c r="F46">
        <v>0.0721</v>
      </c>
      <c r="G46">
        <v>0.0721</v>
      </c>
      <c r="H46">
        <v>0.0721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>
        <v>0.07272857142857143</v>
      </c>
    </row>
    <row r="47">
      <c r="A47">
        <v>45627</v>
      </c>
      <c r="B47">
        <v>0.0732</v>
      </c>
      <c r="C47">
        <v>0.0732</v>
      </c>
      <c r="D47">
        <v>0.0732</v>
      </c>
      <c r="E47">
        <v>0.0732</v>
      </c>
      <c r="F47">
        <v>0.0732</v>
      </c>
      <c r="G47">
        <v>0.0732</v>
      </c>
      <c r="H47">
        <v>0.0721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>
        <v>0.07304285714285715</v>
      </c>
    </row>
    <row r="48">
      <c r="A48">
        <v>45658</v>
      </c>
      <c r="B48">
        <v>0.0732</v>
      </c>
      <c r="C48">
        <v>0.0732</v>
      </c>
      <c r="D48">
        <v>0.0732</v>
      </c>
      <c r="E48">
        <v>0.0732</v>
      </c>
      <c r="F48">
        <v>0.0732</v>
      </c>
      <c r="G48">
        <v>0.0732</v>
      </c>
      <c r="H48">
        <v>0.0721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>
        <v>0.07304285714285715</v>
      </c>
    </row>
    <row r="49">
      <c r="A49">
        <v>45689</v>
      </c>
      <c r="B49">
        <v>0.0732</v>
      </c>
      <c r="C49">
        <v>0.0732</v>
      </c>
      <c r="D49">
        <v>0.0732</v>
      </c>
      <c r="E49">
        <v>0.0732</v>
      </c>
      <c r="F49">
        <v>0.0732</v>
      </c>
      <c r="G49">
        <v>0.0732</v>
      </c>
      <c r="H49">
        <v>0.0721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>
        <v>0.07304285714285715</v>
      </c>
    </row>
    <row r="50">
      <c r="A50">
        <v>45717</v>
      </c>
      <c r="B50">
        <v>0.0732</v>
      </c>
      <c r="C50">
        <v>0.0732</v>
      </c>
      <c r="D50">
        <v>0.0732</v>
      </c>
      <c r="E50">
        <v>0.0732</v>
      </c>
      <c r="F50">
        <v>0.0732</v>
      </c>
      <c r="G50">
        <v>0.0732</v>
      </c>
      <c r="H50">
        <v>0.0732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>
        <v>0.0732</v>
      </c>
    </row>
    <row r="51">
      <c r="A51">
        <v>45748</v>
      </c>
      <c r="B51">
        <v>0.0743</v>
      </c>
      <c r="C51">
        <v>0.0743</v>
      </c>
      <c r="D51">
        <v>0.0743</v>
      </c>
      <c r="E51">
        <v>0.0732</v>
      </c>
      <c r="F51">
        <v>0.0732</v>
      </c>
      <c r="G51">
        <v>0.0732</v>
      </c>
      <c r="H51">
        <v>0.0732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>
        <v>0.07367142857142858</v>
      </c>
    </row>
    <row r="52">
      <c r="A52">
        <v>45778</v>
      </c>
      <c r="B52">
        <v>0.0743</v>
      </c>
      <c r="C52">
        <v>0.0743</v>
      </c>
      <c r="D52">
        <v>0.0743</v>
      </c>
      <c r="E52">
        <v>0.0732</v>
      </c>
      <c r="F52">
        <v>0.0732</v>
      </c>
      <c r="G52">
        <v>0.0732</v>
      </c>
      <c r="H52">
        <v>0.0732</v>
      </c>
      <c r="I52">
        <v>0.115</v>
      </c>
      <c r="J52">
        <v>0.115</v>
      </c>
      <c r="K52">
        <v>0.115</v>
      </c>
      <c r="L52">
        <v>0.115</v>
      </c>
      <c r="M52">
        <v>0.115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>
        <v>0.09089166666666666</v>
      </c>
    </row>
    <row r="53">
      <c r="A53">
        <v>45809</v>
      </c>
      <c r="B53">
        <v>0.0743</v>
      </c>
      <c r="C53">
        <v>0.0743</v>
      </c>
      <c r="D53">
        <v>0.0743</v>
      </c>
      <c r="E53">
        <v>0.0732</v>
      </c>
      <c r="F53">
        <v>0.0732</v>
      </c>
      <c r="G53">
        <v>0.0732</v>
      </c>
      <c r="H53">
        <v>0.0732</v>
      </c>
      <c r="I53">
        <v>0.115</v>
      </c>
      <c r="J53">
        <v>0.115</v>
      </c>
      <c r="K53">
        <v>0.115</v>
      </c>
      <c r="L53">
        <v>0.115</v>
      </c>
      <c r="M53">
        <v>0.115</v>
      </c>
      <c r="N53">
        <v>0.115</v>
      </c>
      <c r="O53">
        <v>0.115</v>
      </c>
      <c r="P53" t="str">
        <v/>
      </c>
      <c r="Q53">
        <v>0.115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>
        <v>0.09571333333333333</v>
      </c>
    </row>
    <row r="54">
      <c r="A54">
        <v>45839</v>
      </c>
      <c r="B54">
        <v>0.0743</v>
      </c>
      <c r="C54">
        <v>0.0743</v>
      </c>
      <c r="D54">
        <v>0.0743</v>
      </c>
      <c r="E54">
        <v>0.0732</v>
      </c>
      <c r="F54">
        <v>0.0732</v>
      </c>
      <c r="G54">
        <v>0.0732</v>
      </c>
      <c r="H54">
        <v>0.0732</v>
      </c>
      <c r="I54">
        <v>0.115</v>
      </c>
      <c r="J54">
        <v>0.115</v>
      </c>
      <c r="K54">
        <v>0.115</v>
      </c>
      <c r="L54">
        <v>0.115</v>
      </c>
      <c r="M54">
        <v>0.115</v>
      </c>
      <c r="N54">
        <v>0.115</v>
      </c>
      <c r="O54">
        <v>0.115</v>
      </c>
      <c r="P54" t="str">
        <v/>
      </c>
      <c r="Q54">
        <v>0.115</v>
      </c>
      <c r="R54" t="str">
        <v/>
      </c>
      <c r="S54" t="str">
        <v/>
      </c>
      <c r="T54">
        <v>0.115</v>
      </c>
      <c r="U54" t="str">
        <v/>
      </c>
      <c r="V54" t="str">
        <v/>
      </c>
      <c r="W54" t="str">
        <v/>
      </c>
      <c r="X54">
        <v>0.115</v>
      </c>
      <c r="Y54">
        <v>0.115</v>
      </c>
      <c r="Z54" t="str">
        <v/>
      </c>
      <c r="AA54">
        <v>0.115</v>
      </c>
      <c r="AB54">
        <v>0.115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>
        <v>0.100535</v>
      </c>
    </row>
    <row r="55">
      <c r="A55">
        <v>45870</v>
      </c>
      <c r="B55">
        <v>0.0743</v>
      </c>
      <c r="C55">
        <v>0.0743</v>
      </c>
      <c r="D55">
        <v>0.0743</v>
      </c>
      <c r="E55">
        <v>0.0732</v>
      </c>
      <c r="F55">
        <v>0.0732</v>
      </c>
      <c r="G55">
        <v>0.0732</v>
      </c>
      <c r="H55">
        <v>0.0732</v>
      </c>
      <c r="I55">
        <v>0.115</v>
      </c>
      <c r="J55">
        <v>0.115</v>
      </c>
      <c r="K55">
        <v>0.115</v>
      </c>
      <c r="L55">
        <v>0.115</v>
      </c>
      <c r="M55">
        <v>0.115</v>
      </c>
      <c r="N55">
        <v>0.115</v>
      </c>
      <c r="O55">
        <v>0.115</v>
      </c>
      <c r="P55" t="str">
        <v/>
      </c>
      <c r="Q55">
        <v>0.115</v>
      </c>
      <c r="R55" t="str">
        <v/>
      </c>
      <c r="S55">
        <v>0.115</v>
      </c>
      <c r="T55">
        <v>0.115</v>
      </c>
      <c r="U55" t="str">
        <v/>
      </c>
      <c r="V55" t="str">
        <v/>
      </c>
      <c r="W55" t="str">
        <v/>
      </c>
      <c r="X55">
        <v>0.115</v>
      </c>
      <c r="Y55">
        <v>0.115</v>
      </c>
      <c r="Z55">
        <v>0.115</v>
      </c>
      <c r="AA55">
        <v>0.115</v>
      </c>
      <c r="AB55">
        <v>0.115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>
        <v>0.10185000000000001</v>
      </c>
    </row>
    <row r="56">
      <c r="A56">
        <v>45901</v>
      </c>
      <c r="B56">
        <v>0.0743</v>
      </c>
      <c r="C56">
        <v>0.0743</v>
      </c>
      <c r="D56">
        <v>0.0743</v>
      </c>
      <c r="E56">
        <v>0.0732</v>
      </c>
      <c r="F56">
        <v>0.0732</v>
      </c>
      <c r="G56">
        <v>0.0732</v>
      </c>
      <c r="H56">
        <v>0.0732</v>
      </c>
      <c r="I56">
        <v>0.115</v>
      </c>
      <c r="J56">
        <v>0.115</v>
      </c>
      <c r="K56">
        <v>0.115</v>
      </c>
      <c r="L56">
        <v>0.115</v>
      </c>
      <c r="M56">
        <v>0.115</v>
      </c>
      <c r="N56">
        <v>0.115</v>
      </c>
      <c r="O56">
        <v>0.115</v>
      </c>
      <c r="P56" t="str">
        <v/>
      </c>
      <c r="Q56">
        <v>0.115</v>
      </c>
      <c r="R56">
        <v>0.115</v>
      </c>
      <c r="S56">
        <v>0.115</v>
      </c>
      <c r="T56">
        <v>0.115</v>
      </c>
      <c r="U56">
        <v>0.115</v>
      </c>
      <c r="V56">
        <v>0.115</v>
      </c>
      <c r="W56">
        <v>0.115</v>
      </c>
      <c r="X56">
        <v>0.115</v>
      </c>
      <c r="Y56">
        <v>0.115</v>
      </c>
      <c r="Z56">
        <v>0.115</v>
      </c>
      <c r="AA56">
        <v>0.115</v>
      </c>
      <c r="AB56">
        <v>0.115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>
        <v>0.10387307692307697</v>
      </c>
    </row>
    <row r="57">
      <c r="A57">
        <v>45931</v>
      </c>
      <c r="B57">
        <v>0.0743</v>
      </c>
      <c r="C57">
        <v>0.0743</v>
      </c>
      <c r="D57">
        <v>0.0743</v>
      </c>
      <c r="E57">
        <v>0.0743</v>
      </c>
      <c r="F57">
        <v>0.0732</v>
      </c>
      <c r="G57">
        <v>0.0732</v>
      </c>
      <c r="H57">
        <v>0.0732</v>
      </c>
      <c r="I57">
        <v>0.115</v>
      </c>
      <c r="J57">
        <v>0.115</v>
      </c>
      <c r="K57">
        <v>0.115</v>
      </c>
      <c r="L57">
        <v>0.115</v>
      </c>
      <c r="M57">
        <v>0.115</v>
      </c>
      <c r="N57">
        <v>0.115</v>
      </c>
      <c r="O57">
        <v>0.115</v>
      </c>
      <c r="P57" t="str">
        <v/>
      </c>
      <c r="Q57">
        <v>0.115</v>
      </c>
      <c r="R57">
        <v>0.115</v>
      </c>
      <c r="S57">
        <v>0.115</v>
      </c>
      <c r="T57">
        <v>0.115</v>
      </c>
      <c r="U57">
        <v>0.115</v>
      </c>
      <c r="V57">
        <v>0.115</v>
      </c>
      <c r="W57">
        <v>0.115</v>
      </c>
      <c r="X57">
        <v>0.115</v>
      </c>
      <c r="Y57">
        <v>0.115</v>
      </c>
      <c r="Z57">
        <v>0.115</v>
      </c>
      <c r="AA57">
        <v>0.115</v>
      </c>
      <c r="AB57">
        <v>0.115</v>
      </c>
      <c r="AC57" t="str">
        <v/>
      </c>
      <c r="AD57">
        <v>0.115</v>
      </c>
      <c r="AE57">
        <v>0.115</v>
      </c>
      <c r="AF57" t="str">
        <v/>
      </c>
      <c r="AG57" t="str">
        <v/>
      </c>
      <c r="AH57" t="str">
        <v/>
      </c>
      <c r="AI57">
        <v>0.115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>
        <v>0.10506206896551731</v>
      </c>
    </row>
    <row r="58">
      <c r="A58">
        <v>45962</v>
      </c>
      <c r="B58">
        <v>0.0743</v>
      </c>
      <c r="C58">
        <v>0.0743</v>
      </c>
      <c r="D58">
        <v>0.0743</v>
      </c>
      <c r="E58">
        <v>0.0743</v>
      </c>
      <c r="F58">
        <v>0.0732</v>
      </c>
      <c r="G58">
        <v>0.0732</v>
      </c>
      <c r="H58">
        <v>0.0732</v>
      </c>
      <c r="I58">
        <v>0.115</v>
      </c>
      <c r="J58">
        <v>0.115</v>
      </c>
      <c r="K58">
        <v>0.115</v>
      </c>
      <c r="L58">
        <v>0.115</v>
      </c>
      <c r="M58">
        <v>0.115</v>
      </c>
      <c r="N58">
        <v>0.115</v>
      </c>
      <c r="O58">
        <v>0.115</v>
      </c>
      <c r="P58" t="str">
        <v/>
      </c>
      <c r="Q58">
        <v>0.115</v>
      </c>
      <c r="R58">
        <v>0.115</v>
      </c>
      <c r="S58">
        <v>0.115</v>
      </c>
      <c r="T58">
        <v>0.115</v>
      </c>
      <c r="U58">
        <v>0.115</v>
      </c>
      <c r="V58">
        <v>0.115</v>
      </c>
      <c r="W58">
        <v>0.115</v>
      </c>
      <c r="X58">
        <v>0.115</v>
      </c>
      <c r="Y58">
        <v>0.115</v>
      </c>
      <c r="Z58">
        <v>0.115</v>
      </c>
      <c r="AA58">
        <v>0.115</v>
      </c>
      <c r="AB58">
        <v>0.115</v>
      </c>
      <c r="AC58">
        <v>0.115</v>
      </c>
      <c r="AD58">
        <v>0.115</v>
      </c>
      <c r="AE58">
        <v>0.115</v>
      </c>
      <c r="AF58">
        <v>0.115</v>
      </c>
      <c r="AG58">
        <v>0.115</v>
      </c>
      <c r="AH58">
        <v>0.115</v>
      </c>
      <c r="AI58">
        <v>0.115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>
        <v>0.10626666666666675</v>
      </c>
    </row>
    <row r="59">
      <c r="A59">
        <v>45992</v>
      </c>
      <c r="B59">
        <v>0.0743</v>
      </c>
      <c r="C59">
        <v>0.0743</v>
      </c>
      <c r="D59">
        <v>0.0743</v>
      </c>
      <c r="E59">
        <v>0.0743</v>
      </c>
      <c r="F59">
        <v>0.0743</v>
      </c>
      <c r="G59">
        <v>0.0743</v>
      </c>
      <c r="H59">
        <v>0.0732</v>
      </c>
      <c r="I59">
        <v>0.115</v>
      </c>
      <c r="J59">
        <v>0.115</v>
      </c>
      <c r="K59">
        <v>0.115</v>
      </c>
      <c r="L59">
        <v>0.115</v>
      </c>
      <c r="M59">
        <v>0.115</v>
      </c>
      <c r="N59">
        <v>0.115</v>
      </c>
      <c r="O59">
        <v>0.115</v>
      </c>
      <c r="P59">
        <v>0.115</v>
      </c>
      <c r="Q59">
        <v>0.115</v>
      </c>
      <c r="R59">
        <v>0.115</v>
      </c>
      <c r="S59">
        <v>0.115</v>
      </c>
      <c r="T59">
        <v>0.115</v>
      </c>
      <c r="U59">
        <v>0.115</v>
      </c>
      <c r="V59">
        <v>0.115</v>
      </c>
      <c r="W59">
        <v>0.115</v>
      </c>
      <c r="X59">
        <v>0.115</v>
      </c>
      <c r="Y59">
        <v>0.115</v>
      </c>
      <c r="Z59">
        <v>0.115</v>
      </c>
      <c r="AA59">
        <v>0.115</v>
      </c>
      <c r="AB59">
        <v>0.115</v>
      </c>
      <c r="AC59">
        <v>0.115</v>
      </c>
      <c r="AD59">
        <v>0.115</v>
      </c>
      <c r="AE59">
        <v>0.115</v>
      </c>
      <c r="AF59">
        <v>0.115</v>
      </c>
      <c r="AG59">
        <v>0.115</v>
      </c>
      <c r="AH59">
        <v>0.115</v>
      </c>
      <c r="AI59">
        <v>0.115</v>
      </c>
      <c r="AJ59">
        <v>0.115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>
        <v>0.10682857142857152</v>
      </c>
    </row>
    <row r="60">
      <c r="A60">
        <v>46023</v>
      </c>
      <c r="B60">
        <v>0.0743</v>
      </c>
      <c r="C60">
        <v>0.0743</v>
      </c>
      <c r="D60">
        <v>0.0743</v>
      </c>
      <c r="E60">
        <v>0.0743</v>
      </c>
      <c r="F60">
        <v>0.0743</v>
      </c>
      <c r="G60">
        <v>0.0743</v>
      </c>
      <c r="H60">
        <v>0.0732</v>
      </c>
      <c r="I60">
        <v>0.115</v>
      </c>
      <c r="J60">
        <v>0.115</v>
      </c>
      <c r="K60">
        <v>0.115</v>
      </c>
      <c r="L60">
        <v>0.115</v>
      </c>
      <c r="M60">
        <v>0.115</v>
      </c>
      <c r="N60">
        <v>0.115</v>
      </c>
      <c r="O60">
        <v>0.115</v>
      </c>
      <c r="P60">
        <v>0.115</v>
      </c>
      <c r="Q60">
        <v>0.115</v>
      </c>
      <c r="R60">
        <v>0.115</v>
      </c>
      <c r="S60">
        <v>0.115</v>
      </c>
      <c r="T60">
        <v>0.115</v>
      </c>
      <c r="U60">
        <v>0.115</v>
      </c>
      <c r="V60">
        <v>0.115</v>
      </c>
      <c r="W60">
        <v>0.115</v>
      </c>
      <c r="X60">
        <v>0.115</v>
      </c>
      <c r="Y60">
        <v>0.115</v>
      </c>
      <c r="Z60">
        <v>0.115</v>
      </c>
      <c r="AA60">
        <v>0.115</v>
      </c>
      <c r="AB60">
        <v>0.115</v>
      </c>
      <c r="AC60">
        <v>0.115</v>
      </c>
      <c r="AD60">
        <v>0.115</v>
      </c>
      <c r="AE60">
        <v>0.115</v>
      </c>
      <c r="AF60">
        <v>0.115</v>
      </c>
      <c r="AG60">
        <v>0.115</v>
      </c>
      <c r="AH60">
        <v>0.115</v>
      </c>
      <c r="AI60">
        <v>0.115</v>
      </c>
      <c r="AJ60">
        <v>0.115</v>
      </c>
      <c r="AK60">
        <v>0.115</v>
      </c>
      <c r="AL60">
        <v>0.115</v>
      </c>
      <c r="AM60" t="str">
        <v/>
      </c>
      <c r="AN60" t="str">
        <v/>
      </c>
      <c r="AO60" t="str">
        <v/>
      </c>
      <c r="AP60" t="str">
        <v/>
      </c>
      <c r="AQ60">
        <v>0.08</v>
      </c>
      <c r="AR60">
        <v>0.08</v>
      </c>
      <c r="AS60">
        <v>0.10727027027027038</v>
      </c>
    </row>
    <row r="61">
      <c r="A61">
        <v>46054</v>
      </c>
      <c r="B61">
        <v>0.0743</v>
      </c>
      <c r="C61">
        <v>0.0743</v>
      </c>
      <c r="D61">
        <v>0.0743</v>
      </c>
      <c r="E61">
        <v>0.0743</v>
      </c>
      <c r="F61">
        <v>0.0743</v>
      </c>
      <c r="G61">
        <v>0.0743</v>
      </c>
      <c r="H61">
        <v>0.0732</v>
      </c>
      <c r="I61">
        <v>0.115</v>
      </c>
      <c r="J61">
        <v>0.115</v>
      </c>
      <c r="K61">
        <v>0.115</v>
      </c>
      <c r="L61">
        <v>0.115</v>
      </c>
      <c r="M61">
        <v>0.115</v>
      </c>
      <c r="N61">
        <v>0.115</v>
      </c>
      <c r="O61">
        <v>0.115</v>
      </c>
      <c r="P61">
        <v>0.115</v>
      </c>
      <c r="Q61">
        <v>0.115</v>
      </c>
      <c r="R61">
        <v>0.115</v>
      </c>
      <c r="S61">
        <v>0.115</v>
      </c>
      <c r="T61">
        <v>0.115</v>
      </c>
      <c r="U61">
        <v>0.115</v>
      </c>
      <c r="V61">
        <v>0.115</v>
      </c>
      <c r="W61">
        <v>0.115</v>
      </c>
      <c r="X61">
        <v>0.115</v>
      </c>
      <c r="Y61">
        <v>0.115</v>
      </c>
      <c r="Z61">
        <v>0.115</v>
      </c>
      <c r="AA61">
        <v>0.115</v>
      </c>
      <c r="AB61">
        <v>0.115</v>
      </c>
      <c r="AC61">
        <v>0.115</v>
      </c>
      <c r="AD61">
        <v>0.115</v>
      </c>
      <c r="AE61">
        <v>0.115</v>
      </c>
      <c r="AF61">
        <v>0.115</v>
      </c>
      <c r="AG61">
        <v>0.115</v>
      </c>
      <c r="AH61">
        <v>0.115</v>
      </c>
      <c r="AI61">
        <v>0.115</v>
      </c>
      <c r="AJ61">
        <v>0.115</v>
      </c>
      <c r="AK61">
        <v>0.115</v>
      </c>
      <c r="AL61">
        <v>0.115</v>
      </c>
      <c r="AM61" t="str">
        <v/>
      </c>
      <c r="AN61">
        <v>0.115</v>
      </c>
      <c r="AO61" t="str">
        <v/>
      </c>
      <c r="AP61" t="str">
        <v/>
      </c>
      <c r="AQ61">
        <v>0.08</v>
      </c>
      <c r="AR61">
        <v>0.08</v>
      </c>
      <c r="AS61">
        <v>0.10747368421052643</v>
      </c>
    </row>
    <row r="62">
      <c r="A62">
        <v>46082</v>
      </c>
      <c r="B62">
        <v>0.0743</v>
      </c>
      <c r="C62">
        <v>0.0743</v>
      </c>
      <c r="D62">
        <v>0.0743</v>
      </c>
      <c r="E62">
        <v>0.0743</v>
      </c>
      <c r="F62">
        <v>0.0743</v>
      </c>
      <c r="G62">
        <v>0.0743</v>
      </c>
      <c r="H62">
        <v>0.0743</v>
      </c>
      <c r="I62">
        <v>0.115</v>
      </c>
      <c r="J62">
        <v>0.115</v>
      </c>
      <c r="K62">
        <v>0.115</v>
      </c>
      <c r="L62">
        <v>0.115</v>
      </c>
      <c r="M62">
        <v>0.115</v>
      </c>
      <c r="N62">
        <v>0.115</v>
      </c>
      <c r="O62">
        <v>0.115</v>
      </c>
      <c r="P62">
        <v>0.115</v>
      </c>
      <c r="Q62">
        <v>0.115</v>
      </c>
      <c r="R62">
        <v>0.115</v>
      </c>
      <c r="S62">
        <v>0.115</v>
      </c>
      <c r="T62">
        <v>0.115</v>
      </c>
      <c r="U62">
        <v>0.115</v>
      </c>
      <c r="V62">
        <v>0.115</v>
      </c>
      <c r="W62">
        <v>0.115</v>
      </c>
      <c r="X62">
        <v>0.115</v>
      </c>
      <c r="Y62">
        <v>0.115</v>
      </c>
      <c r="Z62">
        <v>0.115</v>
      </c>
      <c r="AA62">
        <v>0.115</v>
      </c>
      <c r="AB62">
        <v>0.115</v>
      </c>
      <c r="AC62">
        <v>0.115</v>
      </c>
      <c r="AD62">
        <v>0.115</v>
      </c>
      <c r="AE62">
        <v>0.115</v>
      </c>
      <c r="AF62">
        <v>0.115</v>
      </c>
      <c r="AG62">
        <v>0.115</v>
      </c>
      <c r="AH62">
        <v>0.115</v>
      </c>
      <c r="AI62">
        <v>0.115</v>
      </c>
      <c r="AJ62">
        <v>0.115</v>
      </c>
      <c r="AK62">
        <v>0.115</v>
      </c>
      <c r="AL62">
        <v>0.115</v>
      </c>
      <c r="AM62" t="str">
        <v/>
      </c>
      <c r="AN62">
        <v>0.115</v>
      </c>
      <c r="AO62" t="str">
        <v/>
      </c>
      <c r="AP62">
        <v>0.115</v>
      </c>
      <c r="AQ62">
        <v>0.08</v>
      </c>
      <c r="AR62">
        <v>0.08</v>
      </c>
      <c r="AS62">
        <v>0.1076948717948719</v>
      </c>
    </row>
    <row r="63">
      <c r="A63">
        <v>46113</v>
      </c>
      <c r="B63">
        <v>0.0754</v>
      </c>
      <c r="C63">
        <v>0.0754</v>
      </c>
      <c r="D63">
        <v>0.0754</v>
      </c>
      <c r="E63">
        <v>0.0743</v>
      </c>
      <c r="F63">
        <v>0.0743</v>
      </c>
      <c r="G63">
        <v>0.0743</v>
      </c>
      <c r="H63">
        <v>0.0743</v>
      </c>
      <c r="I63">
        <v>0.115</v>
      </c>
      <c r="J63">
        <v>0.115</v>
      </c>
      <c r="K63">
        <v>0.115</v>
      </c>
      <c r="L63">
        <v>0.115</v>
      </c>
      <c r="M63">
        <v>0.115</v>
      </c>
      <c r="N63">
        <v>0.115</v>
      </c>
      <c r="O63">
        <v>0.115</v>
      </c>
      <c r="P63">
        <v>0.115</v>
      </c>
      <c r="Q63">
        <v>0.115</v>
      </c>
      <c r="R63">
        <v>0.115</v>
      </c>
      <c r="S63">
        <v>0.115</v>
      </c>
      <c r="T63">
        <v>0.115</v>
      </c>
      <c r="U63">
        <v>0.115</v>
      </c>
      <c r="V63">
        <v>0.115</v>
      </c>
      <c r="W63">
        <v>0.115</v>
      </c>
      <c r="X63">
        <v>0.115</v>
      </c>
      <c r="Y63">
        <v>0.115</v>
      </c>
      <c r="Z63">
        <v>0.115</v>
      </c>
      <c r="AA63">
        <v>0.115</v>
      </c>
      <c r="AB63">
        <v>0.115</v>
      </c>
      <c r="AC63">
        <v>0.115</v>
      </c>
      <c r="AD63">
        <v>0.115</v>
      </c>
      <c r="AE63">
        <v>0.115</v>
      </c>
      <c r="AF63">
        <v>0.115</v>
      </c>
      <c r="AG63">
        <v>0.115</v>
      </c>
      <c r="AH63">
        <v>0.115</v>
      </c>
      <c r="AI63">
        <v>0.115</v>
      </c>
      <c r="AJ63">
        <v>0.115</v>
      </c>
      <c r="AK63">
        <v>0.115</v>
      </c>
      <c r="AL63">
        <v>0.115</v>
      </c>
      <c r="AM63" t="str">
        <v/>
      </c>
      <c r="AN63">
        <v>0.115</v>
      </c>
      <c r="AO63">
        <v>0.115</v>
      </c>
      <c r="AP63">
        <v>0.115</v>
      </c>
      <c r="AQ63">
        <v>0.08</v>
      </c>
      <c r="AR63">
        <v>0.08</v>
      </c>
      <c r="AS63">
        <v>0.1079600000000001</v>
      </c>
    </row>
    <row r="64">
      <c r="A64">
        <v>46143</v>
      </c>
      <c r="B64">
        <v>0.0754</v>
      </c>
      <c r="C64">
        <v>0.0754</v>
      </c>
      <c r="D64">
        <v>0.0754</v>
      </c>
      <c r="E64">
        <v>0.0743</v>
      </c>
      <c r="F64">
        <v>0.0743</v>
      </c>
      <c r="G64">
        <v>0.0743</v>
      </c>
      <c r="H64">
        <v>0.0743</v>
      </c>
      <c r="I64">
        <v>0.1173</v>
      </c>
      <c r="J64">
        <v>0.1173</v>
      </c>
      <c r="K64">
        <v>0.1173</v>
      </c>
      <c r="L64">
        <v>0.1173</v>
      </c>
      <c r="M64">
        <v>0.1173</v>
      </c>
      <c r="N64">
        <v>0.115</v>
      </c>
      <c r="O64">
        <v>0.115</v>
      </c>
      <c r="P64">
        <v>0.115</v>
      </c>
      <c r="Q64">
        <v>0.115</v>
      </c>
      <c r="R64">
        <v>0.115</v>
      </c>
      <c r="S64">
        <v>0.115</v>
      </c>
      <c r="T64">
        <v>0.115</v>
      </c>
      <c r="U64">
        <v>0.115</v>
      </c>
      <c r="V64">
        <v>0.115</v>
      </c>
      <c r="W64">
        <v>0.115</v>
      </c>
      <c r="X64">
        <v>0.115</v>
      </c>
      <c r="Y64">
        <v>0.115</v>
      </c>
      <c r="Z64">
        <v>0.115</v>
      </c>
      <c r="AA64">
        <v>0.115</v>
      </c>
      <c r="AB64">
        <v>0.115</v>
      </c>
      <c r="AC64">
        <v>0.115</v>
      </c>
      <c r="AD64">
        <v>0.115</v>
      </c>
      <c r="AE64">
        <v>0.115</v>
      </c>
      <c r="AF64">
        <v>0.115</v>
      </c>
      <c r="AG64">
        <v>0.115</v>
      </c>
      <c r="AH64">
        <v>0.115</v>
      </c>
      <c r="AI64">
        <v>0.115</v>
      </c>
      <c r="AJ64">
        <v>0.115</v>
      </c>
      <c r="AK64">
        <v>0.115</v>
      </c>
      <c r="AL64">
        <v>0.115</v>
      </c>
      <c r="AM64">
        <v>0.115</v>
      </c>
      <c r="AN64">
        <v>0.115</v>
      </c>
      <c r="AO64">
        <v>0.115</v>
      </c>
      <c r="AP64">
        <v>0.115</v>
      </c>
      <c r="AQ64">
        <v>0.08</v>
      </c>
      <c r="AR64">
        <v>0.08</v>
      </c>
      <c r="AS64">
        <v>0.10841219512195131</v>
      </c>
    </row>
    <row r="65">
      <c r="A65">
        <v>46174</v>
      </c>
      <c r="B65">
        <v>0.0754</v>
      </c>
      <c r="C65">
        <v>0.0754</v>
      </c>
      <c r="D65">
        <v>0.0754</v>
      </c>
      <c r="E65">
        <v>0.0743</v>
      </c>
      <c r="F65">
        <v>0.0743</v>
      </c>
      <c r="G65">
        <v>0.0743</v>
      </c>
      <c r="H65">
        <v>0.0743</v>
      </c>
      <c r="I65">
        <v>0.1173</v>
      </c>
      <c r="J65">
        <v>0.1173</v>
      </c>
      <c r="K65">
        <v>0.1173</v>
      </c>
      <c r="L65">
        <v>0.1173</v>
      </c>
      <c r="M65">
        <v>0.1173</v>
      </c>
      <c r="N65">
        <v>0.1173</v>
      </c>
      <c r="O65">
        <v>0.1173</v>
      </c>
      <c r="P65">
        <v>0.115</v>
      </c>
      <c r="Q65">
        <v>0.1173</v>
      </c>
      <c r="R65">
        <v>0.115</v>
      </c>
      <c r="S65">
        <v>0.115</v>
      </c>
      <c r="T65">
        <v>0.115</v>
      </c>
      <c r="U65">
        <v>0.115</v>
      </c>
      <c r="V65">
        <v>0.115</v>
      </c>
      <c r="W65">
        <v>0.115</v>
      </c>
      <c r="X65">
        <v>0.115</v>
      </c>
      <c r="Y65">
        <v>0.1173</v>
      </c>
      <c r="Z65">
        <v>0.115</v>
      </c>
      <c r="AA65">
        <v>0.1173</v>
      </c>
      <c r="AB65">
        <v>0.115</v>
      </c>
      <c r="AC65">
        <v>0.115</v>
      </c>
      <c r="AD65">
        <v>0.115</v>
      </c>
      <c r="AE65">
        <v>0.115</v>
      </c>
      <c r="AF65">
        <v>0.115</v>
      </c>
      <c r="AG65">
        <v>0.115</v>
      </c>
      <c r="AH65">
        <v>0.115</v>
      </c>
      <c r="AI65">
        <v>0.115</v>
      </c>
      <c r="AJ65">
        <v>0.115</v>
      </c>
      <c r="AK65">
        <v>0.115</v>
      </c>
      <c r="AL65">
        <v>0.115</v>
      </c>
      <c r="AM65">
        <v>0.115</v>
      </c>
      <c r="AN65">
        <v>0.115</v>
      </c>
      <c r="AO65">
        <v>0.115</v>
      </c>
      <c r="AP65">
        <v>0.115</v>
      </c>
      <c r="AQ65">
        <v>0.08</v>
      </c>
      <c r="AR65">
        <v>0.08</v>
      </c>
      <c r="AS65">
        <v>0.10869268292682936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</row>
  </sheetData>
  <ignoredErrors>
    <ignoredError numberStoredAsText="1" sqref="A1:AS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65"/>
  <sheetViews>
    <sheetView workbookViewId="0" rightToLeft="0"/>
  </sheetViews>
  <sheetData>
    <row r="1">
      <c r="B1" t="str">
        <v>Monthly Cost Savings</v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Total Cost Savings</v>
      </c>
      <c r="AR2" t="str">
        <v>GRAND TOTAL</v>
      </c>
    </row>
    <row r="3">
      <c r="A3">
        <v>44287</v>
      </c>
      <c r="B3">
        <f>kWh!B3*('Elec Rates'!B3-'CS Rates'!B3)</f>
        <v>387.4679999999999</v>
      </c>
      <c r="C3">
        <f>kWh!C3*('Elec Rates'!C3-'CS Rates'!C3)</f>
        <v>317.97599999999994</v>
      </c>
      <c r="D3">
        <f>kWh!D3*('Elec Rates'!D3-'CS Rates'!D3)</f>
        <v>239.91239999999993</v>
      </c>
      <c r="E3">
        <f>kWh!E3*('Elec Rates'!E3-'CS Rates'!E3)</f>
        <v>0</v>
      </c>
      <c r="F3">
        <f>kWh!F3*('Elec Rates'!F3-'CS Rates'!F3)</f>
        <v>0</v>
      </c>
      <c r="G3">
        <f>kWh!G3*('Elec Rates'!G3-'CS Rates'!G3)</f>
        <v>0</v>
      </c>
      <c r="H3">
        <f>kWh!H3*('Elec Rates'!H3-'CS Rates'!H3)</f>
        <v>0</v>
      </c>
      <c r="I3">
        <f>kWh!I3*('Elec Rates'!I3-'CS Rates'!I3)</f>
        <v>0</v>
      </c>
      <c r="J3">
        <f>kWh!J3*('Elec Rates'!J3-'CS Rates'!J3)</f>
        <v>0</v>
      </c>
      <c r="K3">
        <f>kWh!K3*('Elec Rates'!K3-'CS Rates'!K3)</f>
        <v>0</v>
      </c>
      <c r="L3">
        <f>kWh!L3*('Elec Rates'!L3-'CS Rates'!L3)</f>
        <v>0</v>
      </c>
      <c r="M3">
        <f>kWh!M3*('Elec Rates'!M3-'CS Rates'!M3)</f>
        <v>0</v>
      </c>
      <c r="N3">
        <f>kWh!N3*('Elec Rates'!N3-'CS Rates'!N3)</f>
        <v>0</v>
      </c>
      <c r="O3">
        <f>kWh!O3*('Elec Rates'!O3-'CS Rates'!O3)</f>
        <v>0</v>
      </c>
      <c r="P3">
        <f>kWh!P3*('Elec Rates'!P3-'CS Rates'!P3)</f>
        <v>0</v>
      </c>
      <c r="Q3">
        <f>kWh!Q3*('Elec Rates'!Q3-'CS Rates'!Q3)</f>
        <v>0</v>
      </c>
      <c r="R3">
        <f>kWh!R3*('Elec Rates'!R3-'CS Rates'!R3)</f>
        <v>0</v>
      </c>
      <c r="S3">
        <f>kWh!S3*('Elec Rates'!S3-'CS Rates'!S3)</f>
        <v>0</v>
      </c>
      <c r="T3">
        <f>kWh!T3*('Elec Rates'!T3-'CS Rates'!T3)</f>
        <v>0</v>
      </c>
      <c r="U3">
        <f>kWh!U3*('Elec Rates'!U3-'CS Rates'!U3)</f>
        <v>0</v>
      </c>
      <c r="V3">
        <f>kWh!V3*('Elec Rates'!V3-'CS Rates'!V3)</f>
        <v>0</v>
      </c>
      <c r="W3">
        <f>kWh!W3*('Elec Rates'!W3-'CS Rates'!W3)</f>
        <v>0</v>
      </c>
      <c r="X3">
        <f>kWh!X3*('Elec Rates'!X3-'CS Rates'!X3)</f>
        <v>0</v>
      </c>
      <c r="Y3">
        <f>kWh!Y3*('Elec Rates'!Y3-'CS Rates'!Y3)</f>
        <v>0</v>
      </c>
      <c r="Z3">
        <f>kWh!Z3*('Elec Rates'!Z3-'CS Rates'!Z3)</f>
        <v>0</v>
      </c>
      <c r="AA3">
        <f>kWh!AA3*('Elec Rates'!AA3-'CS Rates'!AA3)</f>
        <v>0</v>
      </c>
      <c r="AB3">
        <f>kWh!AB3*('Elec Rates'!AB3-'CS Rates'!AB3)</f>
        <v>0</v>
      </c>
      <c r="AC3">
        <f>kWh!AC3*('Elec Rates'!AC3-'CS Rates'!AC3)</f>
        <v>0</v>
      </c>
      <c r="AD3">
        <f>kWh!AD3*('Elec Rates'!AD3-'CS Rates'!AD3)</f>
        <v>0</v>
      </c>
      <c r="AE3">
        <f>kWh!AE3*('Elec Rates'!AE3-'CS Rates'!AE3)</f>
        <v>0</v>
      </c>
      <c r="AF3">
        <f>kWh!AF3*('Elec Rates'!AF3-'CS Rates'!AF3)</f>
        <v>0</v>
      </c>
      <c r="AG3">
        <f>kWh!AG3*('Elec Rates'!AG3-'CS Rates'!AG3)</f>
        <v>0</v>
      </c>
      <c r="AH3">
        <f>kWh!AH3*('Elec Rates'!AH3-'CS Rates'!AH3)</f>
        <v>0</v>
      </c>
      <c r="AI3">
        <f>kWh!AI3*('Elec Rates'!AI3-'CS Rates'!AI3)</f>
        <v>0</v>
      </c>
      <c r="AJ3">
        <f>kWh!AJ3*('Elec Rates'!AJ3-'CS Rates'!AJ3)</f>
        <v>0</v>
      </c>
      <c r="AK3">
        <f>kWh!AK3*('Elec Rates'!AK3-'CS Rates'!AK3)</f>
        <v>0</v>
      </c>
      <c r="AL3">
        <f>kWh!AL3*('Elec Rates'!AL3-'CS Rates'!AL3)</f>
        <v>0</v>
      </c>
      <c r="AM3">
        <f>kWh!AM3*('Elec Rates'!AM3-'CS Rates'!AM3)</f>
        <v>0</v>
      </c>
      <c r="AN3">
        <f>kWh!AN3*('Elec Rates'!AN3-'CS Rates'!AN3)</f>
        <v>0</v>
      </c>
      <c r="AO3">
        <f>kWh!AO3*('Elec Rates'!AO3-'CS Rates'!AO3)</f>
        <v>0</v>
      </c>
      <c r="AP3">
        <f>kWh!AP3*('Elec Rates'!AP3-'CS Rates'!AP3)</f>
        <v>0</v>
      </c>
      <c r="AQ3">
        <f>SUM(B3:AP3)</f>
        <v>945.3563999999998</v>
      </c>
      <c r="AR3">
        <f>SUM(AQ3:AQ65)</f>
        <v>326586.7286600001</v>
      </c>
    </row>
    <row r="4">
      <c r="A4">
        <v>44317</v>
      </c>
      <c r="B4">
        <f>kWh!B4*('Elec Rates'!B4-'CS Rates'!B4)</f>
        <v>718.5239999999998</v>
      </c>
      <c r="C4">
        <f>kWh!C4*('Elec Rates'!C4-'CS Rates'!C4)</f>
        <v>259.7559999999999</v>
      </c>
      <c r="D4">
        <f>kWh!D4*('Elec Rates'!D4-'CS Rates'!D4)</f>
        <v>488.41799999999995</v>
      </c>
      <c r="E4">
        <f>kWh!E4*('Elec Rates'!E4-'CS Rates'!E4)</f>
        <v>0</v>
      </c>
      <c r="F4">
        <f>kWh!F4*('Elec Rates'!F4-'CS Rates'!F4)</f>
        <v>0</v>
      </c>
      <c r="G4">
        <f>kWh!G4*('Elec Rates'!G4-'CS Rates'!G4)</f>
        <v>0</v>
      </c>
      <c r="H4">
        <f>kWh!H4*('Elec Rates'!H4-'CS Rates'!H4)</f>
        <v>0</v>
      </c>
      <c r="I4">
        <f>kWh!I4*('Elec Rates'!I4-'CS Rates'!I4)</f>
        <v>0</v>
      </c>
      <c r="J4">
        <f>kWh!J4*('Elec Rates'!J4-'CS Rates'!J4)</f>
        <v>0</v>
      </c>
      <c r="K4">
        <f>kWh!K4*('Elec Rates'!K4-'CS Rates'!K4)</f>
        <v>0</v>
      </c>
      <c r="L4">
        <f>kWh!L4*('Elec Rates'!L4-'CS Rates'!L4)</f>
        <v>0</v>
      </c>
      <c r="M4">
        <f>kWh!M4*('Elec Rates'!M4-'CS Rates'!M4)</f>
        <v>0</v>
      </c>
      <c r="N4">
        <f>kWh!N4*('Elec Rates'!N4-'CS Rates'!N4)</f>
        <v>0</v>
      </c>
      <c r="O4">
        <f>kWh!O4*('Elec Rates'!O4-'CS Rates'!O4)</f>
        <v>0</v>
      </c>
      <c r="P4">
        <f>kWh!P4*('Elec Rates'!P4-'CS Rates'!P4)</f>
        <v>0</v>
      </c>
      <c r="Q4">
        <f>kWh!Q4*('Elec Rates'!Q4-'CS Rates'!Q4)</f>
        <v>0</v>
      </c>
      <c r="R4">
        <f>kWh!R4*('Elec Rates'!R4-'CS Rates'!R4)</f>
        <v>0</v>
      </c>
      <c r="S4">
        <f>kWh!S4*('Elec Rates'!S4-'CS Rates'!S4)</f>
        <v>0</v>
      </c>
      <c r="T4">
        <f>kWh!T4*('Elec Rates'!T4-'CS Rates'!T4)</f>
        <v>0</v>
      </c>
      <c r="U4">
        <f>kWh!U4*('Elec Rates'!U4-'CS Rates'!U4)</f>
        <v>0</v>
      </c>
      <c r="V4">
        <f>kWh!V4*('Elec Rates'!V4-'CS Rates'!V4)</f>
        <v>0</v>
      </c>
      <c r="W4">
        <f>kWh!W4*('Elec Rates'!W4-'CS Rates'!W4)</f>
        <v>0</v>
      </c>
      <c r="X4">
        <f>kWh!X4*('Elec Rates'!X4-'CS Rates'!X4)</f>
        <v>0</v>
      </c>
      <c r="Y4">
        <f>kWh!Y4*('Elec Rates'!Y4-'CS Rates'!Y4)</f>
        <v>0</v>
      </c>
      <c r="Z4">
        <f>kWh!Z4*('Elec Rates'!Z4-'CS Rates'!Z4)</f>
        <v>0</v>
      </c>
      <c r="AA4">
        <f>kWh!AA4*('Elec Rates'!AA4-'CS Rates'!AA4)</f>
        <v>0</v>
      </c>
      <c r="AB4">
        <f>kWh!AB4*('Elec Rates'!AB4-'CS Rates'!AB4)</f>
        <v>0</v>
      </c>
      <c r="AC4">
        <f>kWh!AC4*('Elec Rates'!AC4-'CS Rates'!AC4)</f>
        <v>0</v>
      </c>
      <c r="AD4">
        <f>kWh!AD4*('Elec Rates'!AD4-'CS Rates'!AD4)</f>
        <v>0</v>
      </c>
      <c r="AE4">
        <f>kWh!AE4*('Elec Rates'!AE4-'CS Rates'!AE4)</f>
        <v>0</v>
      </c>
      <c r="AF4">
        <f>kWh!AF4*('Elec Rates'!AF4-'CS Rates'!AF4)</f>
        <v>0</v>
      </c>
      <c r="AG4">
        <f>kWh!AG4*('Elec Rates'!AG4-'CS Rates'!AG4)</f>
        <v>0</v>
      </c>
      <c r="AH4">
        <f>kWh!AH4*('Elec Rates'!AH4-'CS Rates'!AH4)</f>
        <v>0</v>
      </c>
      <c r="AI4">
        <f>kWh!AI4*('Elec Rates'!AI4-'CS Rates'!AI4)</f>
        <v>0</v>
      </c>
      <c r="AJ4">
        <f>kWh!AJ4*('Elec Rates'!AJ4-'CS Rates'!AJ4)</f>
        <v>0</v>
      </c>
      <c r="AK4">
        <f>kWh!AK4*('Elec Rates'!AK4-'CS Rates'!AK4)</f>
        <v>0</v>
      </c>
      <c r="AL4">
        <f>kWh!AL4*('Elec Rates'!AL4-'CS Rates'!AL4)</f>
        <v>0</v>
      </c>
      <c r="AM4">
        <f>kWh!AM4*('Elec Rates'!AM4-'CS Rates'!AM4)</f>
        <v>0</v>
      </c>
      <c r="AN4">
        <f>kWh!AN4*('Elec Rates'!AN4-'CS Rates'!AN4)</f>
        <v>0</v>
      </c>
      <c r="AO4">
        <f>kWh!AO4*('Elec Rates'!AO4-'CS Rates'!AO4)</f>
        <v>0</v>
      </c>
      <c r="AP4">
        <f>kWh!AP4*('Elec Rates'!AP4-'CS Rates'!AP4)</f>
        <v>0</v>
      </c>
      <c r="AQ4">
        <f>SUM(B4:AP4)</f>
        <v>1466.6979999999996</v>
      </c>
    </row>
    <row r="5">
      <c r="A5">
        <v>44348</v>
      </c>
      <c r="B5">
        <f>kWh!B5*('Elec Rates'!B5-'CS Rates'!B5)</f>
        <v>990.2592</v>
      </c>
      <c r="C5">
        <f>kWh!C5*('Elec Rates'!C5-'CS Rates'!C5)</f>
        <v>413.84999999999997</v>
      </c>
      <c r="D5">
        <f>kWh!D5*('Elec Rates'!D5-'CS Rates'!D5)</f>
        <v>926.31</v>
      </c>
      <c r="E5">
        <f>kWh!E5*('Elec Rates'!E5-'CS Rates'!E5)</f>
        <v>0</v>
      </c>
      <c r="F5">
        <f>kWh!F5*('Elec Rates'!F5-'CS Rates'!F5)</f>
        <v>0</v>
      </c>
      <c r="G5">
        <f>kWh!G5*('Elec Rates'!G5-'CS Rates'!G5)</f>
        <v>0</v>
      </c>
      <c r="H5">
        <f>kWh!H5*('Elec Rates'!H5-'CS Rates'!H5)</f>
        <v>0</v>
      </c>
      <c r="I5">
        <f>kWh!I5*('Elec Rates'!I5-'CS Rates'!I5)</f>
        <v>0</v>
      </c>
      <c r="J5">
        <f>kWh!J5*('Elec Rates'!J5-'CS Rates'!J5)</f>
        <v>0</v>
      </c>
      <c r="K5">
        <f>kWh!K5*('Elec Rates'!K5-'CS Rates'!K5)</f>
        <v>0</v>
      </c>
      <c r="L5">
        <f>kWh!L5*('Elec Rates'!L5-'CS Rates'!L5)</f>
        <v>0</v>
      </c>
      <c r="M5">
        <f>kWh!M5*('Elec Rates'!M5-'CS Rates'!M5)</f>
        <v>0</v>
      </c>
      <c r="N5">
        <f>kWh!N5*('Elec Rates'!N5-'CS Rates'!N5)</f>
        <v>0</v>
      </c>
      <c r="O5">
        <f>kWh!O5*('Elec Rates'!O5-'CS Rates'!O5)</f>
        <v>0</v>
      </c>
      <c r="P5">
        <f>kWh!P5*('Elec Rates'!P5-'CS Rates'!P5)</f>
        <v>0</v>
      </c>
      <c r="Q5">
        <f>kWh!Q5*('Elec Rates'!Q5-'CS Rates'!Q5)</f>
        <v>0</v>
      </c>
      <c r="R5">
        <f>kWh!R5*('Elec Rates'!R5-'CS Rates'!R5)</f>
        <v>0</v>
      </c>
      <c r="S5">
        <f>kWh!S5*('Elec Rates'!S5-'CS Rates'!S5)</f>
        <v>0</v>
      </c>
      <c r="T5">
        <f>kWh!T5*('Elec Rates'!T5-'CS Rates'!T5)</f>
        <v>0</v>
      </c>
      <c r="U5">
        <f>kWh!U5*('Elec Rates'!U5-'CS Rates'!U5)</f>
        <v>0</v>
      </c>
      <c r="V5">
        <f>kWh!V5*('Elec Rates'!V5-'CS Rates'!V5)</f>
        <v>0</v>
      </c>
      <c r="W5">
        <f>kWh!W5*('Elec Rates'!W5-'CS Rates'!W5)</f>
        <v>0</v>
      </c>
      <c r="X5">
        <f>kWh!X5*('Elec Rates'!X5-'CS Rates'!X5)</f>
        <v>0</v>
      </c>
      <c r="Y5">
        <f>kWh!Y5*('Elec Rates'!Y5-'CS Rates'!Y5)</f>
        <v>0</v>
      </c>
      <c r="Z5">
        <f>kWh!Z5*('Elec Rates'!Z5-'CS Rates'!Z5)</f>
        <v>0</v>
      </c>
      <c r="AA5">
        <f>kWh!AA5*('Elec Rates'!AA5-'CS Rates'!AA5)</f>
        <v>0</v>
      </c>
      <c r="AB5">
        <f>kWh!AB5*('Elec Rates'!AB5-'CS Rates'!AB5)</f>
        <v>0</v>
      </c>
      <c r="AC5">
        <f>kWh!AC5*('Elec Rates'!AC5-'CS Rates'!AC5)</f>
        <v>0</v>
      </c>
      <c r="AD5">
        <f>kWh!AD5*('Elec Rates'!AD5-'CS Rates'!AD5)</f>
        <v>0</v>
      </c>
      <c r="AE5">
        <f>kWh!AE5*('Elec Rates'!AE5-'CS Rates'!AE5)</f>
        <v>0</v>
      </c>
      <c r="AF5">
        <f>kWh!AF5*('Elec Rates'!AF5-'CS Rates'!AF5)</f>
        <v>0</v>
      </c>
      <c r="AG5">
        <f>kWh!AG5*('Elec Rates'!AG5-'CS Rates'!AG5)</f>
        <v>0</v>
      </c>
      <c r="AH5">
        <f>kWh!AH5*('Elec Rates'!AH5-'CS Rates'!AH5)</f>
        <v>0</v>
      </c>
      <c r="AI5">
        <f>kWh!AI5*('Elec Rates'!AI5-'CS Rates'!AI5)</f>
        <v>0</v>
      </c>
      <c r="AJ5">
        <f>kWh!AJ5*('Elec Rates'!AJ5-'CS Rates'!AJ5)</f>
        <v>0</v>
      </c>
      <c r="AK5">
        <f>kWh!AK5*('Elec Rates'!AK5-'CS Rates'!AK5)</f>
        <v>0</v>
      </c>
      <c r="AL5">
        <f>kWh!AL5*('Elec Rates'!AL5-'CS Rates'!AL5)</f>
        <v>0</v>
      </c>
      <c r="AM5">
        <f>kWh!AM5*('Elec Rates'!AM5-'CS Rates'!AM5)</f>
        <v>0</v>
      </c>
      <c r="AN5">
        <f>kWh!AN5*('Elec Rates'!AN5-'CS Rates'!AN5)</f>
        <v>0</v>
      </c>
      <c r="AO5">
        <f>kWh!AO5*('Elec Rates'!AO5-'CS Rates'!AO5)</f>
        <v>0</v>
      </c>
      <c r="AP5">
        <f>kWh!AP5*('Elec Rates'!AP5-'CS Rates'!AP5)</f>
        <v>0</v>
      </c>
      <c r="AQ5">
        <f>SUM(B5:AP5)</f>
        <v>2330.4192</v>
      </c>
    </row>
    <row r="6">
      <c r="A6">
        <v>44378</v>
      </c>
      <c r="B6">
        <f>kWh!B6*('Elec Rates'!B6-'CS Rates'!B6)</f>
        <v>573.3376</v>
      </c>
      <c r="C6">
        <f>kWh!C6*('Elec Rates'!C6-'CS Rates'!C6)</f>
        <v>519.8724999999998</v>
      </c>
      <c r="D6">
        <f>kWh!D6*('Elec Rates'!D6-'CS Rates'!D6)</f>
        <v>660.5836999999998</v>
      </c>
      <c r="E6">
        <f>kWh!E6*('Elec Rates'!E6-'CS Rates'!E6)</f>
        <v>0</v>
      </c>
      <c r="F6">
        <f>kWh!F6*('Elec Rates'!F6-'CS Rates'!F6)</f>
        <v>0</v>
      </c>
      <c r="G6">
        <f>kWh!G6*('Elec Rates'!G6-'CS Rates'!G6)</f>
        <v>0</v>
      </c>
      <c r="H6">
        <f>kWh!H6*('Elec Rates'!H6-'CS Rates'!H6)</f>
        <v>0</v>
      </c>
      <c r="I6">
        <f>kWh!I6*('Elec Rates'!I6-'CS Rates'!I6)</f>
        <v>0</v>
      </c>
      <c r="J6">
        <f>kWh!J6*('Elec Rates'!J6-'CS Rates'!J6)</f>
        <v>0</v>
      </c>
      <c r="K6">
        <f>kWh!K6*('Elec Rates'!K6-'CS Rates'!K6)</f>
        <v>0</v>
      </c>
      <c r="L6">
        <f>kWh!L6*('Elec Rates'!L6-'CS Rates'!L6)</f>
        <v>0</v>
      </c>
      <c r="M6">
        <f>kWh!M6*('Elec Rates'!M6-'CS Rates'!M6)</f>
        <v>0</v>
      </c>
      <c r="N6">
        <f>kWh!N6*('Elec Rates'!N6-'CS Rates'!N6)</f>
        <v>0</v>
      </c>
      <c r="O6">
        <f>kWh!O6*('Elec Rates'!O6-'CS Rates'!O6)</f>
        <v>0</v>
      </c>
      <c r="P6">
        <f>kWh!P6*('Elec Rates'!P6-'CS Rates'!P6)</f>
        <v>0</v>
      </c>
      <c r="Q6">
        <f>kWh!Q6*('Elec Rates'!Q6-'CS Rates'!Q6)</f>
        <v>0</v>
      </c>
      <c r="R6">
        <f>kWh!R6*('Elec Rates'!R6-'CS Rates'!R6)</f>
        <v>0</v>
      </c>
      <c r="S6">
        <f>kWh!S6*('Elec Rates'!S6-'CS Rates'!S6)</f>
        <v>0</v>
      </c>
      <c r="T6">
        <f>kWh!T6*('Elec Rates'!T6-'CS Rates'!T6)</f>
        <v>0</v>
      </c>
      <c r="U6">
        <f>kWh!U6*('Elec Rates'!U6-'CS Rates'!U6)</f>
        <v>0</v>
      </c>
      <c r="V6">
        <f>kWh!V6*('Elec Rates'!V6-'CS Rates'!V6)</f>
        <v>0</v>
      </c>
      <c r="W6">
        <f>kWh!W6*('Elec Rates'!W6-'CS Rates'!W6)</f>
        <v>0</v>
      </c>
      <c r="X6">
        <f>kWh!X6*('Elec Rates'!X6-'CS Rates'!X6)</f>
        <v>0</v>
      </c>
      <c r="Y6">
        <f>kWh!Y6*('Elec Rates'!Y6-'CS Rates'!Y6)</f>
        <v>0</v>
      </c>
      <c r="Z6">
        <f>kWh!Z6*('Elec Rates'!Z6-'CS Rates'!Z6)</f>
        <v>0</v>
      </c>
      <c r="AA6">
        <f>kWh!AA6*('Elec Rates'!AA6-'CS Rates'!AA6)</f>
        <v>0</v>
      </c>
      <c r="AB6">
        <f>kWh!AB6*('Elec Rates'!AB6-'CS Rates'!AB6)</f>
        <v>0</v>
      </c>
      <c r="AC6">
        <f>kWh!AC6*('Elec Rates'!AC6-'CS Rates'!AC6)</f>
        <v>0</v>
      </c>
      <c r="AD6">
        <f>kWh!AD6*('Elec Rates'!AD6-'CS Rates'!AD6)</f>
        <v>0</v>
      </c>
      <c r="AE6">
        <f>kWh!AE6*('Elec Rates'!AE6-'CS Rates'!AE6)</f>
        <v>0</v>
      </c>
      <c r="AF6">
        <f>kWh!AF6*('Elec Rates'!AF6-'CS Rates'!AF6)</f>
        <v>0</v>
      </c>
      <c r="AG6">
        <f>kWh!AG6*('Elec Rates'!AG6-'CS Rates'!AG6)</f>
        <v>0</v>
      </c>
      <c r="AH6">
        <f>kWh!AH6*('Elec Rates'!AH6-'CS Rates'!AH6)</f>
        <v>0</v>
      </c>
      <c r="AI6">
        <f>kWh!AI6*('Elec Rates'!AI6-'CS Rates'!AI6)</f>
        <v>0</v>
      </c>
      <c r="AJ6">
        <f>kWh!AJ6*('Elec Rates'!AJ6-'CS Rates'!AJ6)</f>
        <v>0</v>
      </c>
      <c r="AK6">
        <f>kWh!AK6*('Elec Rates'!AK6-'CS Rates'!AK6)</f>
        <v>0</v>
      </c>
      <c r="AL6">
        <f>kWh!AL6*('Elec Rates'!AL6-'CS Rates'!AL6)</f>
        <v>0</v>
      </c>
      <c r="AM6">
        <f>kWh!AM6*('Elec Rates'!AM6-'CS Rates'!AM6)</f>
        <v>0</v>
      </c>
      <c r="AN6">
        <f>kWh!AN6*('Elec Rates'!AN6-'CS Rates'!AN6)</f>
        <v>0</v>
      </c>
      <c r="AO6">
        <f>kWh!AO6*('Elec Rates'!AO6-'CS Rates'!AO6)</f>
        <v>0</v>
      </c>
      <c r="AP6">
        <f>kWh!AP6*('Elec Rates'!AP6-'CS Rates'!AP6)</f>
        <v>0</v>
      </c>
      <c r="AQ6">
        <f>SUM(B6:AP6)</f>
        <v>1753.7937999999995</v>
      </c>
    </row>
    <row r="7">
      <c r="A7">
        <v>44409</v>
      </c>
      <c r="B7">
        <f>kWh!B7*('Elec Rates'!B7-'CS Rates'!B7)</f>
        <v>835.5382</v>
      </c>
      <c r="C7">
        <f>kWh!C7*('Elec Rates'!C7-'CS Rates'!C7)</f>
        <v>379.34259999999995</v>
      </c>
      <c r="D7">
        <f>kWh!D7*('Elec Rates'!D7-'CS Rates'!D7)</f>
        <v>1069.992</v>
      </c>
      <c r="E7">
        <f>kWh!E7*('Elec Rates'!E7-'CS Rates'!E7)</f>
        <v>0</v>
      </c>
      <c r="F7">
        <f>kWh!F7*('Elec Rates'!F7-'CS Rates'!F7)</f>
        <v>0</v>
      </c>
      <c r="G7">
        <f>kWh!G7*('Elec Rates'!G7-'CS Rates'!G7)</f>
        <v>0</v>
      </c>
      <c r="H7">
        <f>kWh!H7*('Elec Rates'!H7-'CS Rates'!H7)</f>
        <v>0</v>
      </c>
      <c r="I7">
        <f>kWh!I7*('Elec Rates'!I7-'CS Rates'!I7)</f>
        <v>0</v>
      </c>
      <c r="J7">
        <f>kWh!J7*('Elec Rates'!J7-'CS Rates'!J7)</f>
        <v>0</v>
      </c>
      <c r="K7">
        <f>kWh!K7*('Elec Rates'!K7-'CS Rates'!K7)</f>
        <v>0</v>
      </c>
      <c r="L7">
        <f>kWh!L7*('Elec Rates'!L7-'CS Rates'!L7)</f>
        <v>0</v>
      </c>
      <c r="M7">
        <f>kWh!M7*('Elec Rates'!M7-'CS Rates'!M7)</f>
        <v>0</v>
      </c>
      <c r="N7">
        <f>kWh!N7*('Elec Rates'!N7-'CS Rates'!N7)</f>
        <v>0</v>
      </c>
      <c r="O7">
        <f>kWh!O7*('Elec Rates'!O7-'CS Rates'!O7)</f>
        <v>0</v>
      </c>
      <c r="P7">
        <f>kWh!P7*('Elec Rates'!P7-'CS Rates'!P7)</f>
        <v>0</v>
      </c>
      <c r="Q7">
        <f>kWh!Q7*('Elec Rates'!Q7-'CS Rates'!Q7)</f>
        <v>0</v>
      </c>
      <c r="R7">
        <f>kWh!R7*('Elec Rates'!R7-'CS Rates'!R7)</f>
        <v>0</v>
      </c>
      <c r="S7">
        <f>kWh!S7*('Elec Rates'!S7-'CS Rates'!S7)</f>
        <v>0</v>
      </c>
      <c r="T7">
        <f>kWh!T7*('Elec Rates'!T7-'CS Rates'!T7)</f>
        <v>0</v>
      </c>
      <c r="U7">
        <f>kWh!U7*('Elec Rates'!U7-'CS Rates'!U7)</f>
        <v>0</v>
      </c>
      <c r="V7">
        <f>kWh!V7*('Elec Rates'!V7-'CS Rates'!V7)</f>
        <v>0</v>
      </c>
      <c r="W7">
        <f>kWh!W7*('Elec Rates'!W7-'CS Rates'!W7)</f>
        <v>0</v>
      </c>
      <c r="X7">
        <f>kWh!X7*('Elec Rates'!X7-'CS Rates'!X7)</f>
        <v>0</v>
      </c>
      <c r="Y7">
        <f>kWh!Y7*('Elec Rates'!Y7-'CS Rates'!Y7)</f>
        <v>0</v>
      </c>
      <c r="Z7">
        <f>kWh!Z7*('Elec Rates'!Z7-'CS Rates'!Z7)</f>
        <v>0</v>
      </c>
      <c r="AA7">
        <f>kWh!AA7*('Elec Rates'!AA7-'CS Rates'!AA7)</f>
        <v>0</v>
      </c>
      <c r="AB7">
        <f>kWh!AB7*('Elec Rates'!AB7-'CS Rates'!AB7)</f>
        <v>0</v>
      </c>
      <c r="AC7">
        <f>kWh!AC7*('Elec Rates'!AC7-'CS Rates'!AC7)</f>
        <v>0</v>
      </c>
      <c r="AD7">
        <f>kWh!AD7*('Elec Rates'!AD7-'CS Rates'!AD7)</f>
        <v>0</v>
      </c>
      <c r="AE7">
        <f>kWh!AE7*('Elec Rates'!AE7-'CS Rates'!AE7)</f>
        <v>0</v>
      </c>
      <c r="AF7">
        <f>kWh!AF7*('Elec Rates'!AF7-'CS Rates'!AF7)</f>
        <v>0</v>
      </c>
      <c r="AG7">
        <f>kWh!AG7*('Elec Rates'!AG7-'CS Rates'!AG7)</f>
        <v>0</v>
      </c>
      <c r="AH7">
        <f>kWh!AH7*('Elec Rates'!AH7-'CS Rates'!AH7)</f>
        <v>0</v>
      </c>
      <c r="AI7">
        <f>kWh!AI7*('Elec Rates'!AI7-'CS Rates'!AI7)</f>
        <v>0</v>
      </c>
      <c r="AJ7">
        <f>kWh!AJ7*('Elec Rates'!AJ7-'CS Rates'!AJ7)</f>
        <v>0</v>
      </c>
      <c r="AK7">
        <f>kWh!AK7*('Elec Rates'!AK7-'CS Rates'!AK7)</f>
        <v>0</v>
      </c>
      <c r="AL7">
        <f>kWh!AL7*('Elec Rates'!AL7-'CS Rates'!AL7)</f>
        <v>0</v>
      </c>
      <c r="AM7">
        <f>kWh!AM7*('Elec Rates'!AM7-'CS Rates'!AM7)</f>
        <v>0</v>
      </c>
      <c r="AN7">
        <f>kWh!AN7*('Elec Rates'!AN7-'CS Rates'!AN7)</f>
        <v>0</v>
      </c>
      <c r="AO7">
        <f>kWh!AO7*('Elec Rates'!AO7-'CS Rates'!AO7)</f>
        <v>0</v>
      </c>
      <c r="AP7">
        <f>kWh!AP7*('Elec Rates'!AP7-'CS Rates'!AP7)</f>
        <v>0</v>
      </c>
      <c r="AQ7">
        <f>SUM(B7:AP7)</f>
        <v>2284.8728</v>
      </c>
    </row>
    <row r="8">
      <c r="A8">
        <v>44440</v>
      </c>
      <c r="B8">
        <f>kWh!B8*('Elec Rates'!B8-'CS Rates'!B8)</f>
        <v>747.45</v>
      </c>
      <c r="C8">
        <f>kWh!C8*('Elec Rates'!C8-'CS Rates'!C8)</f>
        <v>74.98399999999998</v>
      </c>
      <c r="D8">
        <f>kWh!D8*('Elec Rates'!D8-'CS Rates'!D8)</f>
        <v>764.3449999999999</v>
      </c>
      <c r="E8">
        <f>kWh!E8*('Elec Rates'!E8-'CS Rates'!E8)</f>
        <v>0</v>
      </c>
      <c r="F8">
        <f>kWh!F8*('Elec Rates'!F8-'CS Rates'!F8)</f>
        <v>0</v>
      </c>
      <c r="G8">
        <f>kWh!G8*('Elec Rates'!G8-'CS Rates'!G8)</f>
        <v>0</v>
      </c>
      <c r="H8">
        <f>kWh!H8*('Elec Rates'!H8-'CS Rates'!H8)</f>
        <v>0</v>
      </c>
      <c r="I8">
        <f>kWh!I8*('Elec Rates'!I8-'CS Rates'!I8)</f>
        <v>0</v>
      </c>
      <c r="J8">
        <f>kWh!J8*('Elec Rates'!J8-'CS Rates'!J8)</f>
        <v>0</v>
      </c>
      <c r="K8">
        <f>kWh!K8*('Elec Rates'!K8-'CS Rates'!K8)</f>
        <v>0</v>
      </c>
      <c r="L8">
        <f>kWh!L8*('Elec Rates'!L8-'CS Rates'!L8)</f>
        <v>0</v>
      </c>
      <c r="M8">
        <f>kWh!M8*('Elec Rates'!M8-'CS Rates'!M8)</f>
        <v>0</v>
      </c>
      <c r="N8">
        <f>kWh!N8*('Elec Rates'!N8-'CS Rates'!N8)</f>
        <v>0</v>
      </c>
      <c r="O8">
        <f>kWh!O8*('Elec Rates'!O8-'CS Rates'!O8)</f>
        <v>0</v>
      </c>
      <c r="P8">
        <f>kWh!P8*('Elec Rates'!P8-'CS Rates'!P8)</f>
        <v>0</v>
      </c>
      <c r="Q8">
        <f>kWh!Q8*('Elec Rates'!Q8-'CS Rates'!Q8)</f>
        <v>0</v>
      </c>
      <c r="R8">
        <f>kWh!R8*('Elec Rates'!R8-'CS Rates'!R8)</f>
        <v>0</v>
      </c>
      <c r="S8">
        <f>kWh!S8*('Elec Rates'!S8-'CS Rates'!S8)</f>
        <v>0</v>
      </c>
      <c r="T8">
        <f>kWh!T8*('Elec Rates'!T8-'CS Rates'!T8)</f>
        <v>0</v>
      </c>
      <c r="U8">
        <f>kWh!U8*('Elec Rates'!U8-'CS Rates'!U8)</f>
        <v>0</v>
      </c>
      <c r="V8">
        <f>kWh!V8*('Elec Rates'!V8-'CS Rates'!V8)</f>
        <v>0</v>
      </c>
      <c r="W8">
        <f>kWh!W8*('Elec Rates'!W8-'CS Rates'!W8)</f>
        <v>0</v>
      </c>
      <c r="X8">
        <f>kWh!X8*('Elec Rates'!X8-'CS Rates'!X8)</f>
        <v>0</v>
      </c>
      <c r="Y8">
        <f>kWh!Y8*('Elec Rates'!Y8-'CS Rates'!Y8)</f>
        <v>0</v>
      </c>
      <c r="Z8">
        <f>kWh!Z8*('Elec Rates'!Z8-'CS Rates'!Z8)</f>
        <v>0</v>
      </c>
      <c r="AA8">
        <f>kWh!AA8*('Elec Rates'!AA8-'CS Rates'!AA8)</f>
        <v>0</v>
      </c>
      <c r="AB8">
        <f>kWh!AB8*('Elec Rates'!AB8-'CS Rates'!AB8)</f>
        <v>0</v>
      </c>
      <c r="AC8">
        <f>kWh!AC8*('Elec Rates'!AC8-'CS Rates'!AC8)</f>
        <v>0</v>
      </c>
      <c r="AD8">
        <f>kWh!AD8*('Elec Rates'!AD8-'CS Rates'!AD8)</f>
        <v>0</v>
      </c>
      <c r="AE8">
        <f>kWh!AE8*('Elec Rates'!AE8-'CS Rates'!AE8)</f>
        <v>0</v>
      </c>
      <c r="AF8">
        <f>kWh!AF8*('Elec Rates'!AF8-'CS Rates'!AF8)</f>
        <v>0</v>
      </c>
      <c r="AG8">
        <f>kWh!AG8*('Elec Rates'!AG8-'CS Rates'!AG8)</f>
        <v>0</v>
      </c>
      <c r="AH8">
        <f>kWh!AH8*('Elec Rates'!AH8-'CS Rates'!AH8)</f>
        <v>0</v>
      </c>
      <c r="AI8">
        <f>kWh!AI8*('Elec Rates'!AI8-'CS Rates'!AI8)</f>
        <v>0</v>
      </c>
      <c r="AJ8">
        <f>kWh!AJ8*('Elec Rates'!AJ8-'CS Rates'!AJ8)</f>
        <v>0</v>
      </c>
      <c r="AK8">
        <f>kWh!AK8*('Elec Rates'!AK8-'CS Rates'!AK8)</f>
        <v>0</v>
      </c>
      <c r="AL8">
        <f>kWh!AL8*('Elec Rates'!AL8-'CS Rates'!AL8)</f>
        <v>0</v>
      </c>
      <c r="AM8">
        <f>kWh!AM8*('Elec Rates'!AM8-'CS Rates'!AM8)</f>
        <v>0</v>
      </c>
      <c r="AN8">
        <f>kWh!AN8*('Elec Rates'!AN8-'CS Rates'!AN8)</f>
        <v>0</v>
      </c>
      <c r="AO8">
        <f>kWh!AO8*('Elec Rates'!AO8-'CS Rates'!AO8)</f>
        <v>0</v>
      </c>
      <c r="AP8">
        <f>kWh!AP8*('Elec Rates'!AP8-'CS Rates'!AP8)</f>
        <v>0</v>
      </c>
      <c r="AQ8">
        <f>SUM(B8:AP8)</f>
        <v>1586.779</v>
      </c>
    </row>
    <row r="9">
      <c r="A9">
        <v>44470</v>
      </c>
      <c r="B9">
        <f>kWh!B9*('Elec Rates'!B9-'CS Rates'!B9)</f>
        <v>161.78399999999996</v>
      </c>
      <c r="C9">
        <f>kWh!C9*('Elec Rates'!C9-'CS Rates'!C9)</f>
        <v>426.972</v>
      </c>
      <c r="D9">
        <f>kWh!D9*('Elec Rates'!D9-'CS Rates'!D9)</f>
        <v>194.9939999999999</v>
      </c>
      <c r="E9">
        <f>kWh!E9*('Elec Rates'!E9-'CS Rates'!E9)</f>
        <v>276.1919999999999</v>
      </c>
      <c r="F9">
        <f>kWh!F9*('Elec Rates'!F9-'CS Rates'!F9)</f>
        <v>0</v>
      </c>
      <c r="G9">
        <f>kWh!G9*('Elec Rates'!G9-'CS Rates'!G9)</f>
        <v>0</v>
      </c>
      <c r="H9">
        <f>kWh!H9*('Elec Rates'!H9-'CS Rates'!H9)</f>
        <v>0</v>
      </c>
      <c r="I9">
        <f>kWh!I9*('Elec Rates'!I9-'CS Rates'!I9)</f>
        <v>0</v>
      </c>
      <c r="J9">
        <f>kWh!J9*('Elec Rates'!J9-'CS Rates'!J9)</f>
        <v>0</v>
      </c>
      <c r="K9">
        <f>kWh!K9*('Elec Rates'!K9-'CS Rates'!K9)</f>
        <v>0</v>
      </c>
      <c r="L9">
        <f>kWh!L9*('Elec Rates'!L9-'CS Rates'!L9)</f>
        <v>0</v>
      </c>
      <c r="M9">
        <f>kWh!M9*('Elec Rates'!M9-'CS Rates'!M9)</f>
        <v>0</v>
      </c>
      <c r="N9">
        <f>kWh!N9*('Elec Rates'!N9-'CS Rates'!N9)</f>
        <v>0</v>
      </c>
      <c r="O9">
        <f>kWh!O9*('Elec Rates'!O9-'CS Rates'!O9)</f>
        <v>0</v>
      </c>
      <c r="P9">
        <f>kWh!P9*('Elec Rates'!P9-'CS Rates'!P9)</f>
        <v>0</v>
      </c>
      <c r="Q9">
        <f>kWh!Q9*('Elec Rates'!Q9-'CS Rates'!Q9)</f>
        <v>0</v>
      </c>
      <c r="R9">
        <f>kWh!R9*('Elec Rates'!R9-'CS Rates'!R9)</f>
        <v>0</v>
      </c>
      <c r="S9">
        <f>kWh!S9*('Elec Rates'!S9-'CS Rates'!S9)</f>
        <v>0</v>
      </c>
      <c r="T9">
        <f>kWh!T9*('Elec Rates'!T9-'CS Rates'!T9)</f>
        <v>0</v>
      </c>
      <c r="U9">
        <f>kWh!U9*('Elec Rates'!U9-'CS Rates'!U9)</f>
        <v>0</v>
      </c>
      <c r="V9">
        <f>kWh!V9*('Elec Rates'!V9-'CS Rates'!V9)</f>
        <v>0</v>
      </c>
      <c r="W9">
        <f>kWh!W9*('Elec Rates'!W9-'CS Rates'!W9)</f>
        <v>0</v>
      </c>
      <c r="X9">
        <f>kWh!X9*('Elec Rates'!X9-'CS Rates'!X9)</f>
        <v>0</v>
      </c>
      <c r="Y9">
        <f>kWh!Y9*('Elec Rates'!Y9-'CS Rates'!Y9)</f>
        <v>0</v>
      </c>
      <c r="Z9">
        <f>kWh!Z9*('Elec Rates'!Z9-'CS Rates'!Z9)</f>
        <v>0</v>
      </c>
      <c r="AA9">
        <f>kWh!AA9*('Elec Rates'!AA9-'CS Rates'!AA9)</f>
        <v>0</v>
      </c>
      <c r="AB9">
        <f>kWh!AB9*('Elec Rates'!AB9-'CS Rates'!AB9)</f>
        <v>0</v>
      </c>
      <c r="AC9">
        <f>kWh!AC9*('Elec Rates'!AC9-'CS Rates'!AC9)</f>
        <v>0</v>
      </c>
      <c r="AD9">
        <f>kWh!AD9*('Elec Rates'!AD9-'CS Rates'!AD9)</f>
        <v>0</v>
      </c>
      <c r="AE9">
        <f>kWh!AE9*('Elec Rates'!AE9-'CS Rates'!AE9)</f>
        <v>0</v>
      </c>
      <c r="AF9">
        <f>kWh!AF9*('Elec Rates'!AF9-'CS Rates'!AF9)</f>
        <v>0</v>
      </c>
      <c r="AG9">
        <f>kWh!AG9*('Elec Rates'!AG9-'CS Rates'!AG9)</f>
        <v>0</v>
      </c>
      <c r="AH9">
        <f>kWh!AH9*('Elec Rates'!AH9-'CS Rates'!AH9)</f>
        <v>0</v>
      </c>
      <c r="AI9">
        <f>kWh!AI9*('Elec Rates'!AI9-'CS Rates'!AI9)</f>
        <v>0</v>
      </c>
      <c r="AJ9">
        <f>kWh!AJ9*('Elec Rates'!AJ9-'CS Rates'!AJ9)</f>
        <v>0</v>
      </c>
      <c r="AK9">
        <f>kWh!AK9*('Elec Rates'!AK9-'CS Rates'!AK9)</f>
        <v>0</v>
      </c>
      <c r="AL9">
        <f>kWh!AL9*('Elec Rates'!AL9-'CS Rates'!AL9)</f>
        <v>0</v>
      </c>
      <c r="AM9">
        <f>kWh!AM9*('Elec Rates'!AM9-'CS Rates'!AM9)</f>
        <v>0</v>
      </c>
      <c r="AN9">
        <f>kWh!AN9*('Elec Rates'!AN9-'CS Rates'!AN9)</f>
        <v>0</v>
      </c>
      <c r="AO9">
        <f>kWh!AO9*('Elec Rates'!AO9-'CS Rates'!AO9)</f>
        <v>0</v>
      </c>
      <c r="AP9">
        <f>kWh!AP9*('Elec Rates'!AP9-'CS Rates'!AP9)</f>
        <v>0</v>
      </c>
      <c r="AQ9">
        <f>SUM(B9:AP9)</f>
        <v>1059.9419999999998</v>
      </c>
    </row>
    <row r="10">
      <c r="A10">
        <v>44501</v>
      </c>
      <c r="B10">
        <f>kWh!B10*('Elec Rates'!B10-'CS Rates'!B10)</f>
        <v>119.51999999999994</v>
      </c>
      <c r="C10">
        <f>kWh!C10*('Elec Rates'!C10-'CS Rates'!C10)</f>
        <v>276.544</v>
      </c>
      <c r="D10">
        <f>kWh!D10*('Elec Rates'!D10-'CS Rates'!D10)</f>
        <v>186.8939999999999</v>
      </c>
      <c r="E10">
        <f>kWh!E10*('Elec Rates'!E10-'CS Rates'!E10)</f>
        <v>270.3359999999999</v>
      </c>
      <c r="F10">
        <f>kWh!F10*('Elec Rates'!F10-'CS Rates'!F10)</f>
        <v>0</v>
      </c>
      <c r="G10">
        <f>kWh!G10*('Elec Rates'!G10-'CS Rates'!G10)</f>
        <v>0</v>
      </c>
      <c r="H10">
        <f>kWh!H10*('Elec Rates'!H10-'CS Rates'!H10)</f>
        <v>0</v>
      </c>
      <c r="I10">
        <f>kWh!I10*('Elec Rates'!I10-'CS Rates'!I10)</f>
        <v>0</v>
      </c>
      <c r="J10">
        <f>kWh!J10*('Elec Rates'!J10-'CS Rates'!J10)</f>
        <v>0</v>
      </c>
      <c r="K10">
        <f>kWh!K10*('Elec Rates'!K10-'CS Rates'!K10)</f>
        <v>0</v>
      </c>
      <c r="L10">
        <f>kWh!L10*('Elec Rates'!L10-'CS Rates'!L10)</f>
        <v>0</v>
      </c>
      <c r="M10">
        <f>kWh!M10*('Elec Rates'!M10-'CS Rates'!M10)</f>
        <v>0</v>
      </c>
      <c r="N10">
        <f>kWh!N10*('Elec Rates'!N10-'CS Rates'!N10)</f>
        <v>0</v>
      </c>
      <c r="O10">
        <f>kWh!O10*('Elec Rates'!O10-'CS Rates'!O10)</f>
        <v>0</v>
      </c>
      <c r="P10">
        <f>kWh!P10*('Elec Rates'!P10-'CS Rates'!P10)</f>
        <v>0</v>
      </c>
      <c r="Q10">
        <f>kWh!Q10*('Elec Rates'!Q10-'CS Rates'!Q10)</f>
        <v>0</v>
      </c>
      <c r="R10">
        <f>kWh!R10*('Elec Rates'!R10-'CS Rates'!R10)</f>
        <v>0</v>
      </c>
      <c r="S10">
        <f>kWh!S10*('Elec Rates'!S10-'CS Rates'!S10)</f>
        <v>0</v>
      </c>
      <c r="T10">
        <f>kWh!T10*('Elec Rates'!T10-'CS Rates'!T10)</f>
        <v>0</v>
      </c>
      <c r="U10">
        <f>kWh!U10*('Elec Rates'!U10-'CS Rates'!U10)</f>
        <v>0</v>
      </c>
      <c r="V10">
        <f>kWh!V10*('Elec Rates'!V10-'CS Rates'!V10)</f>
        <v>0</v>
      </c>
      <c r="W10">
        <f>kWh!W10*('Elec Rates'!W10-'CS Rates'!W10)</f>
        <v>0</v>
      </c>
      <c r="X10">
        <f>kWh!X10*('Elec Rates'!X10-'CS Rates'!X10)</f>
        <v>0</v>
      </c>
      <c r="Y10">
        <f>kWh!Y10*('Elec Rates'!Y10-'CS Rates'!Y10)</f>
        <v>0</v>
      </c>
      <c r="Z10">
        <f>kWh!Z10*('Elec Rates'!Z10-'CS Rates'!Z10)</f>
        <v>0</v>
      </c>
      <c r="AA10">
        <f>kWh!AA10*('Elec Rates'!AA10-'CS Rates'!AA10)</f>
        <v>0</v>
      </c>
      <c r="AB10">
        <f>kWh!AB10*('Elec Rates'!AB10-'CS Rates'!AB10)</f>
        <v>0</v>
      </c>
      <c r="AC10">
        <f>kWh!AC10*('Elec Rates'!AC10-'CS Rates'!AC10)</f>
        <v>0</v>
      </c>
      <c r="AD10">
        <f>kWh!AD10*('Elec Rates'!AD10-'CS Rates'!AD10)</f>
        <v>0</v>
      </c>
      <c r="AE10">
        <f>kWh!AE10*('Elec Rates'!AE10-'CS Rates'!AE10)</f>
        <v>0</v>
      </c>
      <c r="AF10">
        <f>kWh!AF10*('Elec Rates'!AF10-'CS Rates'!AF10)</f>
        <v>0</v>
      </c>
      <c r="AG10">
        <f>kWh!AG10*('Elec Rates'!AG10-'CS Rates'!AG10)</f>
        <v>0</v>
      </c>
      <c r="AH10">
        <f>kWh!AH10*('Elec Rates'!AH10-'CS Rates'!AH10)</f>
        <v>0</v>
      </c>
      <c r="AI10">
        <f>kWh!AI10*('Elec Rates'!AI10-'CS Rates'!AI10)</f>
        <v>0</v>
      </c>
      <c r="AJ10">
        <f>kWh!AJ10*('Elec Rates'!AJ10-'CS Rates'!AJ10)</f>
        <v>0</v>
      </c>
      <c r="AK10">
        <f>kWh!AK10*('Elec Rates'!AK10-'CS Rates'!AK10)</f>
        <v>0</v>
      </c>
      <c r="AL10">
        <f>kWh!AL10*('Elec Rates'!AL10-'CS Rates'!AL10)</f>
        <v>0</v>
      </c>
      <c r="AM10">
        <f>kWh!AM10*('Elec Rates'!AM10-'CS Rates'!AM10)</f>
        <v>0</v>
      </c>
      <c r="AN10">
        <f>kWh!AN10*('Elec Rates'!AN10-'CS Rates'!AN10)</f>
        <v>0</v>
      </c>
      <c r="AO10">
        <f>kWh!AO10*('Elec Rates'!AO10-'CS Rates'!AO10)</f>
        <v>0</v>
      </c>
      <c r="AP10">
        <f>kWh!AP10*('Elec Rates'!AP10-'CS Rates'!AP10)</f>
        <v>0</v>
      </c>
      <c r="AQ10">
        <f>SUM(B10:AP10)</f>
        <v>853.2939999999998</v>
      </c>
    </row>
    <row r="11">
      <c r="A11">
        <v>44531</v>
      </c>
      <c r="B11">
        <f>kWh!B11*('Elec Rates'!B11-'CS Rates'!B11)</f>
        <v>82.39199999999998</v>
      </c>
      <c r="C11">
        <f>kWh!C11*('Elec Rates'!C11-'CS Rates'!C11)</f>
        <v>137.74999999999997</v>
      </c>
      <c r="D11">
        <f>kWh!D11*('Elec Rates'!D11-'CS Rates'!D11)</f>
        <v>99.27999999999993</v>
      </c>
      <c r="E11">
        <f>kWh!E11*('Elec Rates'!E11-'CS Rates'!E11)</f>
        <v>178.82799999999997</v>
      </c>
      <c r="F11">
        <f>kWh!F11*('Elec Rates'!F11-'CS Rates'!F11)</f>
        <v>164.86499999999998</v>
      </c>
      <c r="G11">
        <f>kWh!G11*('Elec Rates'!G11-'CS Rates'!G11)</f>
        <v>99.86200000000001</v>
      </c>
      <c r="H11">
        <f>kWh!H11*('Elec Rates'!H11-'CS Rates'!H11)</f>
        <v>0</v>
      </c>
      <c r="I11">
        <f>kWh!I11*('Elec Rates'!I11-'CS Rates'!I11)</f>
        <v>0</v>
      </c>
      <c r="J11">
        <f>kWh!J11*('Elec Rates'!J11-'CS Rates'!J11)</f>
        <v>0</v>
      </c>
      <c r="K11">
        <f>kWh!K11*('Elec Rates'!K11-'CS Rates'!K11)</f>
        <v>0</v>
      </c>
      <c r="L11">
        <f>kWh!L11*('Elec Rates'!L11-'CS Rates'!L11)</f>
        <v>0</v>
      </c>
      <c r="M11">
        <f>kWh!M11*('Elec Rates'!M11-'CS Rates'!M11)</f>
        <v>0</v>
      </c>
      <c r="N11">
        <f>kWh!N11*('Elec Rates'!N11-'CS Rates'!N11)</f>
        <v>0</v>
      </c>
      <c r="O11">
        <f>kWh!O11*('Elec Rates'!O11-'CS Rates'!O11)</f>
        <v>0</v>
      </c>
      <c r="P11">
        <f>kWh!P11*('Elec Rates'!P11-'CS Rates'!P11)</f>
        <v>0</v>
      </c>
      <c r="Q11">
        <f>kWh!Q11*('Elec Rates'!Q11-'CS Rates'!Q11)</f>
        <v>0</v>
      </c>
      <c r="R11">
        <f>kWh!R11*('Elec Rates'!R11-'CS Rates'!R11)</f>
        <v>0</v>
      </c>
      <c r="S11">
        <f>kWh!S11*('Elec Rates'!S11-'CS Rates'!S11)</f>
        <v>0</v>
      </c>
      <c r="T11">
        <f>kWh!T11*('Elec Rates'!T11-'CS Rates'!T11)</f>
        <v>0</v>
      </c>
      <c r="U11">
        <f>kWh!U11*('Elec Rates'!U11-'CS Rates'!U11)</f>
        <v>0</v>
      </c>
      <c r="V11">
        <f>kWh!V11*('Elec Rates'!V11-'CS Rates'!V11)</f>
        <v>0</v>
      </c>
      <c r="W11">
        <f>kWh!W11*('Elec Rates'!W11-'CS Rates'!W11)</f>
        <v>0</v>
      </c>
      <c r="X11">
        <f>kWh!X11*('Elec Rates'!X11-'CS Rates'!X11)</f>
        <v>0</v>
      </c>
      <c r="Y11">
        <f>kWh!Y11*('Elec Rates'!Y11-'CS Rates'!Y11)</f>
        <v>0</v>
      </c>
      <c r="Z11">
        <f>kWh!Z11*('Elec Rates'!Z11-'CS Rates'!Z11)</f>
        <v>0</v>
      </c>
      <c r="AA11">
        <f>kWh!AA11*('Elec Rates'!AA11-'CS Rates'!AA11)</f>
        <v>0</v>
      </c>
      <c r="AB11">
        <f>kWh!AB11*('Elec Rates'!AB11-'CS Rates'!AB11)</f>
        <v>0</v>
      </c>
      <c r="AC11">
        <f>kWh!AC11*('Elec Rates'!AC11-'CS Rates'!AC11)</f>
        <v>0</v>
      </c>
      <c r="AD11">
        <f>kWh!AD11*('Elec Rates'!AD11-'CS Rates'!AD11)</f>
        <v>0</v>
      </c>
      <c r="AE11">
        <f>kWh!AE11*('Elec Rates'!AE11-'CS Rates'!AE11)</f>
        <v>0</v>
      </c>
      <c r="AF11">
        <f>kWh!AF11*('Elec Rates'!AF11-'CS Rates'!AF11)</f>
        <v>0</v>
      </c>
      <c r="AG11">
        <f>kWh!AG11*('Elec Rates'!AG11-'CS Rates'!AG11)</f>
        <v>0</v>
      </c>
      <c r="AH11">
        <f>kWh!AH11*('Elec Rates'!AH11-'CS Rates'!AH11)</f>
        <v>0</v>
      </c>
      <c r="AI11">
        <f>kWh!AI11*('Elec Rates'!AI11-'CS Rates'!AI11)</f>
        <v>0</v>
      </c>
      <c r="AJ11">
        <f>kWh!AJ11*('Elec Rates'!AJ11-'CS Rates'!AJ11)</f>
        <v>0</v>
      </c>
      <c r="AK11">
        <f>kWh!AK11*('Elec Rates'!AK11-'CS Rates'!AK11)</f>
        <v>0</v>
      </c>
      <c r="AL11">
        <f>kWh!AL11*('Elec Rates'!AL11-'CS Rates'!AL11)</f>
        <v>0</v>
      </c>
      <c r="AM11">
        <f>kWh!AM11*('Elec Rates'!AM11-'CS Rates'!AM11)</f>
        <v>0</v>
      </c>
      <c r="AN11">
        <f>kWh!AN11*('Elec Rates'!AN11-'CS Rates'!AN11)</f>
        <v>0</v>
      </c>
      <c r="AO11">
        <f>kWh!AO11*('Elec Rates'!AO11-'CS Rates'!AO11)</f>
        <v>0</v>
      </c>
      <c r="AP11">
        <f>kWh!AP11*('Elec Rates'!AP11-'CS Rates'!AP11)</f>
        <v>0</v>
      </c>
      <c r="AQ11">
        <f>SUM(B11:AP11)</f>
        <v>762.9769999999997</v>
      </c>
    </row>
    <row r="12">
      <c r="A12">
        <v>44562</v>
      </c>
      <c r="B12">
        <f>kWh!B12*('Elec Rates'!B12-'CS Rates'!B12)</f>
        <v>212.87199999999999</v>
      </c>
      <c r="C12">
        <f>kWh!C12*('Elec Rates'!C12-'CS Rates'!C12)</f>
        <v>214.16199999999995</v>
      </c>
      <c r="D12">
        <f>kWh!D12*('Elec Rates'!D12-'CS Rates'!D12)</f>
        <v>154.8719999999999</v>
      </c>
      <c r="E12">
        <f>kWh!E12*('Elec Rates'!E12-'CS Rates'!E12)</f>
        <v>567.9319999999999</v>
      </c>
      <c r="F12">
        <f>kWh!F12*('Elec Rates'!F12-'CS Rates'!F12)</f>
        <v>252.798</v>
      </c>
      <c r="G12">
        <f>kWh!G12*('Elec Rates'!G12-'CS Rates'!G12)</f>
        <v>50.027999999999984</v>
      </c>
      <c r="H12">
        <f>kWh!H12*('Elec Rates'!H12-'CS Rates'!H12)</f>
        <v>0</v>
      </c>
      <c r="I12">
        <f>kWh!I12*('Elec Rates'!I12-'CS Rates'!I12)</f>
        <v>0</v>
      </c>
      <c r="J12">
        <f>kWh!J12*('Elec Rates'!J12-'CS Rates'!J12)</f>
        <v>0</v>
      </c>
      <c r="K12">
        <f>kWh!K12*('Elec Rates'!K12-'CS Rates'!K12)</f>
        <v>0</v>
      </c>
      <c r="L12">
        <f>kWh!L12*('Elec Rates'!L12-'CS Rates'!L12)</f>
        <v>0</v>
      </c>
      <c r="M12">
        <f>kWh!M12*('Elec Rates'!M12-'CS Rates'!M12)</f>
        <v>0</v>
      </c>
      <c r="N12">
        <f>kWh!N12*('Elec Rates'!N12-'CS Rates'!N12)</f>
        <v>0</v>
      </c>
      <c r="O12">
        <f>kWh!O12*('Elec Rates'!O12-'CS Rates'!O12)</f>
        <v>0</v>
      </c>
      <c r="P12">
        <f>kWh!P12*('Elec Rates'!P12-'CS Rates'!P12)</f>
        <v>0</v>
      </c>
      <c r="Q12">
        <f>kWh!Q12*('Elec Rates'!Q12-'CS Rates'!Q12)</f>
        <v>0</v>
      </c>
      <c r="R12">
        <f>kWh!R12*('Elec Rates'!R12-'CS Rates'!R12)</f>
        <v>0</v>
      </c>
      <c r="S12">
        <f>kWh!S12*('Elec Rates'!S12-'CS Rates'!S12)</f>
        <v>0</v>
      </c>
      <c r="T12">
        <f>kWh!T12*('Elec Rates'!T12-'CS Rates'!T12)</f>
        <v>0</v>
      </c>
      <c r="U12">
        <f>kWh!U12*('Elec Rates'!U12-'CS Rates'!U12)</f>
        <v>0</v>
      </c>
      <c r="V12">
        <f>kWh!V12*('Elec Rates'!V12-'CS Rates'!V12)</f>
        <v>0</v>
      </c>
      <c r="W12">
        <f>kWh!W12*('Elec Rates'!W12-'CS Rates'!W12)</f>
        <v>0</v>
      </c>
      <c r="X12">
        <f>kWh!X12*('Elec Rates'!X12-'CS Rates'!X12)</f>
        <v>0</v>
      </c>
      <c r="Y12">
        <f>kWh!Y12*('Elec Rates'!Y12-'CS Rates'!Y12)</f>
        <v>0</v>
      </c>
      <c r="Z12">
        <f>kWh!Z12*('Elec Rates'!Z12-'CS Rates'!Z12)</f>
        <v>0</v>
      </c>
      <c r="AA12">
        <f>kWh!AA12*('Elec Rates'!AA12-'CS Rates'!AA12)</f>
        <v>0</v>
      </c>
      <c r="AB12">
        <f>kWh!AB12*('Elec Rates'!AB12-'CS Rates'!AB12)</f>
        <v>0</v>
      </c>
      <c r="AC12">
        <f>kWh!AC12*('Elec Rates'!AC12-'CS Rates'!AC12)</f>
        <v>0</v>
      </c>
      <c r="AD12">
        <f>kWh!AD12*('Elec Rates'!AD12-'CS Rates'!AD12)</f>
        <v>0</v>
      </c>
      <c r="AE12">
        <f>kWh!AE12*('Elec Rates'!AE12-'CS Rates'!AE12)</f>
        <v>0</v>
      </c>
      <c r="AF12">
        <f>kWh!AF12*('Elec Rates'!AF12-'CS Rates'!AF12)</f>
        <v>0</v>
      </c>
      <c r="AG12">
        <f>kWh!AG12*('Elec Rates'!AG12-'CS Rates'!AG12)</f>
        <v>0</v>
      </c>
      <c r="AH12">
        <f>kWh!AH12*('Elec Rates'!AH12-'CS Rates'!AH12)</f>
        <v>0</v>
      </c>
      <c r="AI12">
        <f>kWh!AI12*('Elec Rates'!AI12-'CS Rates'!AI12)</f>
        <v>0</v>
      </c>
      <c r="AJ12">
        <f>kWh!AJ12*('Elec Rates'!AJ12-'CS Rates'!AJ12)</f>
        <v>0</v>
      </c>
      <c r="AK12">
        <f>kWh!AK12*('Elec Rates'!AK12-'CS Rates'!AK12)</f>
        <v>0</v>
      </c>
      <c r="AL12">
        <f>kWh!AL12*('Elec Rates'!AL12-'CS Rates'!AL12)</f>
        <v>0</v>
      </c>
      <c r="AM12">
        <f>kWh!AM12*('Elec Rates'!AM12-'CS Rates'!AM12)</f>
        <v>0</v>
      </c>
      <c r="AN12">
        <f>kWh!AN12*('Elec Rates'!AN12-'CS Rates'!AN12)</f>
        <v>0</v>
      </c>
      <c r="AO12">
        <f>kWh!AO12*('Elec Rates'!AO12-'CS Rates'!AO12)</f>
        <v>0</v>
      </c>
      <c r="AP12">
        <f>kWh!AP12*('Elec Rates'!AP12-'CS Rates'!AP12)</f>
        <v>0</v>
      </c>
      <c r="AQ12">
        <f>SUM(B12:AP12)</f>
        <v>1452.6639999999998</v>
      </c>
    </row>
    <row r="13">
      <c r="A13">
        <v>44593</v>
      </c>
      <c r="B13">
        <f>kWh!B13*('Elec Rates'!B13-'CS Rates'!B13)</f>
        <v>257.00399999999996</v>
      </c>
      <c r="C13">
        <f>kWh!C13*('Elec Rates'!C13-'CS Rates'!C13)</f>
        <v>349.6499999999999</v>
      </c>
      <c r="D13">
        <f>kWh!D13*('Elec Rates'!D13-'CS Rates'!D13)</f>
        <v>171.2879999999999</v>
      </c>
      <c r="E13">
        <f>kWh!E13*('Elec Rates'!E13-'CS Rates'!E13)</f>
        <v>644.684</v>
      </c>
      <c r="F13">
        <f>kWh!F13*('Elec Rates'!F13-'CS Rates'!F13)</f>
        <v>274.68399999999997</v>
      </c>
      <c r="G13">
        <f>kWh!G13*('Elec Rates'!G13-'CS Rates'!G13)</f>
        <v>148.98399999999998</v>
      </c>
      <c r="H13">
        <f>kWh!H13*('Elec Rates'!H13-'CS Rates'!H13)</f>
        <v>0</v>
      </c>
      <c r="I13">
        <f>kWh!I13*('Elec Rates'!I13-'CS Rates'!I13)</f>
        <v>0</v>
      </c>
      <c r="J13">
        <f>kWh!J13*('Elec Rates'!J13-'CS Rates'!J13)</f>
        <v>0</v>
      </c>
      <c r="K13">
        <f>kWh!K13*('Elec Rates'!K13-'CS Rates'!K13)</f>
        <v>0</v>
      </c>
      <c r="L13">
        <f>kWh!L13*('Elec Rates'!L13-'CS Rates'!L13)</f>
        <v>0</v>
      </c>
      <c r="M13">
        <f>kWh!M13*('Elec Rates'!M13-'CS Rates'!M13)</f>
        <v>0</v>
      </c>
      <c r="N13">
        <f>kWh!N13*('Elec Rates'!N13-'CS Rates'!N13)</f>
        <v>0</v>
      </c>
      <c r="O13">
        <f>kWh!O13*('Elec Rates'!O13-'CS Rates'!O13)</f>
        <v>0</v>
      </c>
      <c r="P13">
        <f>kWh!P13*('Elec Rates'!P13-'CS Rates'!P13)</f>
        <v>0</v>
      </c>
      <c r="Q13">
        <f>kWh!Q13*('Elec Rates'!Q13-'CS Rates'!Q13)</f>
        <v>0</v>
      </c>
      <c r="R13">
        <f>kWh!R13*('Elec Rates'!R13-'CS Rates'!R13)</f>
        <v>0</v>
      </c>
      <c r="S13">
        <f>kWh!S13*('Elec Rates'!S13-'CS Rates'!S13)</f>
        <v>0</v>
      </c>
      <c r="T13">
        <f>kWh!T13*('Elec Rates'!T13-'CS Rates'!T13)</f>
        <v>0</v>
      </c>
      <c r="U13">
        <f>kWh!U13*('Elec Rates'!U13-'CS Rates'!U13)</f>
        <v>0</v>
      </c>
      <c r="V13">
        <f>kWh!V13*('Elec Rates'!V13-'CS Rates'!V13)</f>
        <v>0</v>
      </c>
      <c r="W13">
        <f>kWh!W13*('Elec Rates'!W13-'CS Rates'!W13)</f>
        <v>0</v>
      </c>
      <c r="X13">
        <f>kWh!X13*('Elec Rates'!X13-'CS Rates'!X13)</f>
        <v>0</v>
      </c>
      <c r="Y13">
        <f>kWh!Y13*('Elec Rates'!Y13-'CS Rates'!Y13)</f>
        <v>0</v>
      </c>
      <c r="Z13">
        <f>kWh!Z13*('Elec Rates'!Z13-'CS Rates'!Z13)</f>
        <v>0</v>
      </c>
      <c r="AA13">
        <f>kWh!AA13*('Elec Rates'!AA13-'CS Rates'!AA13)</f>
        <v>0</v>
      </c>
      <c r="AB13">
        <f>kWh!AB13*('Elec Rates'!AB13-'CS Rates'!AB13)</f>
        <v>0</v>
      </c>
      <c r="AC13">
        <f>kWh!AC13*('Elec Rates'!AC13-'CS Rates'!AC13)</f>
        <v>0</v>
      </c>
      <c r="AD13">
        <f>kWh!AD13*('Elec Rates'!AD13-'CS Rates'!AD13)</f>
        <v>0</v>
      </c>
      <c r="AE13">
        <f>kWh!AE13*('Elec Rates'!AE13-'CS Rates'!AE13)</f>
        <v>0</v>
      </c>
      <c r="AF13">
        <f>kWh!AF13*('Elec Rates'!AF13-'CS Rates'!AF13)</f>
        <v>0</v>
      </c>
      <c r="AG13">
        <f>kWh!AG13*('Elec Rates'!AG13-'CS Rates'!AG13)</f>
        <v>0</v>
      </c>
      <c r="AH13">
        <f>kWh!AH13*('Elec Rates'!AH13-'CS Rates'!AH13)</f>
        <v>0</v>
      </c>
      <c r="AI13">
        <f>kWh!AI13*('Elec Rates'!AI13-'CS Rates'!AI13)</f>
        <v>0</v>
      </c>
      <c r="AJ13">
        <f>kWh!AJ13*('Elec Rates'!AJ13-'CS Rates'!AJ13)</f>
        <v>0</v>
      </c>
      <c r="AK13">
        <f>kWh!AK13*('Elec Rates'!AK13-'CS Rates'!AK13)</f>
        <v>0</v>
      </c>
      <c r="AL13">
        <f>kWh!AL13*('Elec Rates'!AL13-'CS Rates'!AL13)</f>
        <v>0</v>
      </c>
      <c r="AM13">
        <f>kWh!AM13*('Elec Rates'!AM13-'CS Rates'!AM13)</f>
        <v>0</v>
      </c>
      <c r="AN13">
        <f>kWh!AN13*('Elec Rates'!AN13-'CS Rates'!AN13)</f>
        <v>0</v>
      </c>
      <c r="AO13">
        <f>kWh!AO13*('Elec Rates'!AO13-'CS Rates'!AO13)</f>
        <v>0</v>
      </c>
      <c r="AP13">
        <f>kWh!AP13*('Elec Rates'!AP13-'CS Rates'!AP13)</f>
        <v>0</v>
      </c>
      <c r="AQ13">
        <f>SUM(B13:AP13)</f>
        <v>1846.2939999999996</v>
      </c>
    </row>
    <row r="14">
      <c r="A14">
        <v>44621</v>
      </c>
      <c r="B14">
        <f>kWh!B14*('Elec Rates'!B14-'CS Rates'!B14)</f>
        <v>429.2079999999999</v>
      </c>
      <c r="C14">
        <f>kWh!C14*('Elec Rates'!C14-'CS Rates'!C14)</f>
        <v>579.3059999999999</v>
      </c>
      <c r="D14">
        <f>kWh!D14*('Elec Rates'!D14-'CS Rates'!D14)</f>
        <v>249.64199999999983</v>
      </c>
      <c r="E14">
        <f>kWh!E14*('Elec Rates'!E14-'CS Rates'!E14)</f>
        <v>253.8739999999999</v>
      </c>
      <c r="F14">
        <f>kWh!F14*('Elec Rates'!F14-'CS Rates'!F14)</f>
        <v>442.47</v>
      </c>
      <c r="G14">
        <f>kWh!G14*('Elec Rates'!G14-'CS Rates'!G14)</f>
        <v>76.60799999999996</v>
      </c>
      <c r="H14">
        <f>kWh!H14*('Elec Rates'!H14-'CS Rates'!H14)</f>
        <v>513.4319999999999</v>
      </c>
      <c r="I14">
        <f>kWh!I14*('Elec Rates'!I14-'CS Rates'!I14)</f>
        <v>0</v>
      </c>
      <c r="J14">
        <f>kWh!J14*('Elec Rates'!J14-'CS Rates'!J14)</f>
        <v>0</v>
      </c>
      <c r="K14">
        <f>kWh!K14*('Elec Rates'!K14-'CS Rates'!K14)</f>
        <v>0</v>
      </c>
      <c r="L14">
        <f>kWh!L14*('Elec Rates'!L14-'CS Rates'!L14)</f>
        <v>0</v>
      </c>
      <c r="M14">
        <f>kWh!M14*('Elec Rates'!M14-'CS Rates'!M14)</f>
        <v>0</v>
      </c>
      <c r="N14">
        <f>kWh!N14*('Elec Rates'!N14-'CS Rates'!N14)</f>
        <v>0</v>
      </c>
      <c r="O14">
        <f>kWh!O14*('Elec Rates'!O14-'CS Rates'!O14)</f>
        <v>0</v>
      </c>
      <c r="P14">
        <f>kWh!P14*('Elec Rates'!P14-'CS Rates'!P14)</f>
        <v>0</v>
      </c>
      <c r="Q14">
        <f>kWh!Q14*('Elec Rates'!Q14-'CS Rates'!Q14)</f>
        <v>0</v>
      </c>
      <c r="R14">
        <f>kWh!R14*('Elec Rates'!R14-'CS Rates'!R14)</f>
        <v>0</v>
      </c>
      <c r="S14">
        <f>kWh!S14*('Elec Rates'!S14-'CS Rates'!S14)</f>
        <v>0</v>
      </c>
      <c r="T14">
        <f>kWh!T14*('Elec Rates'!T14-'CS Rates'!T14)</f>
        <v>0</v>
      </c>
      <c r="U14">
        <f>kWh!U14*('Elec Rates'!U14-'CS Rates'!U14)</f>
        <v>0</v>
      </c>
      <c r="V14">
        <f>kWh!V14*('Elec Rates'!V14-'CS Rates'!V14)</f>
        <v>0</v>
      </c>
      <c r="W14">
        <f>kWh!W14*('Elec Rates'!W14-'CS Rates'!W14)</f>
        <v>0</v>
      </c>
      <c r="X14">
        <f>kWh!X14*('Elec Rates'!X14-'CS Rates'!X14)</f>
        <v>0</v>
      </c>
      <c r="Y14">
        <f>kWh!Y14*('Elec Rates'!Y14-'CS Rates'!Y14)</f>
        <v>0</v>
      </c>
      <c r="Z14">
        <f>kWh!Z14*('Elec Rates'!Z14-'CS Rates'!Z14)</f>
        <v>0</v>
      </c>
      <c r="AA14">
        <f>kWh!AA14*('Elec Rates'!AA14-'CS Rates'!AA14)</f>
        <v>0</v>
      </c>
      <c r="AB14">
        <f>kWh!AB14*('Elec Rates'!AB14-'CS Rates'!AB14)</f>
        <v>0</v>
      </c>
      <c r="AC14">
        <f>kWh!AC14*('Elec Rates'!AC14-'CS Rates'!AC14)</f>
        <v>0</v>
      </c>
      <c r="AD14">
        <f>kWh!AD14*('Elec Rates'!AD14-'CS Rates'!AD14)</f>
        <v>0</v>
      </c>
      <c r="AE14">
        <f>kWh!AE14*('Elec Rates'!AE14-'CS Rates'!AE14)</f>
        <v>0</v>
      </c>
      <c r="AF14">
        <f>kWh!AF14*('Elec Rates'!AF14-'CS Rates'!AF14)</f>
        <v>0</v>
      </c>
      <c r="AG14">
        <f>kWh!AG14*('Elec Rates'!AG14-'CS Rates'!AG14)</f>
        <v>0</v>
      </c>
      <c r="AH14">
        <f>kWh!AH14*('Elec Rates'!AH14-'CS Rates'!AH14)</f>
        <v>0</v>
      </c>
      <c r="AI14">
        <f>kWh!AI14*('Elec Rates'!AI14-'CS Rates'!AI14)</f>
        <v>0</v>
      </c>
      <c r="AJ14">
        <f>kWh!AJ14*('Elec Rates'!AJ14-'CS Rates'!AJ14)</f>
        <v>0</v>
      </c>
      <c r="AK14">
        <f>kWh!AK14*('Elec Rates'!AK14-'CS Rates'!AK14)</f>
        <v>0</v>
      </c>
      <c r="AL14">
        <f>kWh!AL14*('Elec Rates'!AL14-'CS Rates'!AL14)</f>
        <v>0</v>
      </c>
      <c r="AM14">
        <f>kWh!AM14*('Elec Rates'!AM14-'CS Rates'!AM14)</f>
        <v>0</v>
      </c>
      <c r="AN14">
        <f>kWh!AN14*('Elec Rates'!AN14-'CS Rates'!AN14)</f>
        <v>0</v>
      </c>
      <c r="AO14">
        <f>kWh!AO14*('Elec Rates'!AO14-'CS Rates'!AO14)</f>
        <v>0</v>
      </c>
      <c r="AP14">
        <f>kWh!AP14*('Elec Rates'!AP14-'CS Rates'!AP14)</f>
        <v>0</v>
      </c>
      <c r="AQ14">
        <f>SUM(B14:AP14)</f>
        <v>2544.5399999999995</v>
      </c>
    </row>
    <row r="15">
      <c r="A15">
        <v>44652</v>
      </c>
      <c r="B15">
        <f>kWh!B15*('Elec Rates'!B15-'CS Rates'!B15)</f>
        <v>444.81510000000003</v>
      </c>
      <c r="C15">
        <f>kWh!C15*('Elec Rates'!C15-'CS Rates'!C15)</f>
        <v>363.9032000000001</v>
      </c>
      <c r="D15">
        <f>kWh!D15*('Elec Rates'!D15-'CS Rates'!D15)</f>
        <v>252.36769999999999</v>
      </c>
      <c r="E15">
        <f>kWh!E15*('Elec Rates'!E15-'CS Rates'!E15)</f>
        <v>240.4999999999999</v>
      </c>
      <c r="F15">
        <f>kWh!F15*('Elec Rates'!F15-'CS Rates'!F15)</f>
        <v>503.2579999999999</v>
      </c>
      <c r="G15">
        <f>kWh!G15*('Elec Rates'!G15-'CS Rates'!G15)</f>
        <v>83.09399999999997</v>
      </c>
      <c r="H15">
        <f>kWh!H15*('Elec Rates'!H15-'CS Rates'!H15)</f>
        <v>1388.7999999999997</v>
      </c>
      <c r="I15">
        <f>kWh!I15*('Elec Rates'!I15-'CS Rates'!I15)</f>
        <v>0</v>
      </c>
      <c r="J15">
        <f>kWh!J15*('Elec Rates'!J15-'CS Rates'!J15)</f>
        <v>0</v>
      </c>
      <c r="K15">
        <f>kWh!K15*('Elec Rates'!K15-'CS Rates'!K15)</f>
        <v>0</v>
      </c>
      <c r="L15">
        <f>kWh!L15*('Elec Rates'!L15-'CS Rates'!L15)</f>
        <v>0</v>
      </c>
      <c r="M15">
        <f>kWh!M15*('Elec Rates'!M15-'CS Rates'!M15)</f>
        <v>0</v>
      </c>
      <c r="N15">
        <f>kWh!N15*('Elec Rates'!N15-'CS Rates'!N15)</f>
        <v>0</v>
      </c>
      <c r="O15">
        <f>kWh!O15*('Elec Rates'!O15-'CS Rates'!O15)</f>
        <v>0</v>
      </c>
      <c r="P15">
        <f>kWh!P15*('Elec Rates'!P15-'CS Rates'!P15)</f>
        <v>0</v>
      </c>
      <c r="Q15">
        <f>kWh!Q15*('Elec Rates'!Q15-'CS Rates'!Q15)</f>
        <v>0</v>
      </c>
      <c r="R15">
        <f>kWh!R15*('Elec Rates'!R15-'CS Rates'!R15)</f>
        <v>0</v>
      </c>
      <c r="S15">
        <f>kWh!S15*('Elec Rates'!S15-'CS Rates'!S15)</f>
        <v>0</v>
      </c>
      <c r="T15">
        <f>kWh!T15*('Elec Rates'!T15-'CS Rates'!T15)</f>
        <v>0</v>
      </c>
      <c r="U15">
        <f>kWh!U15*('Elec Rates'!U15-'CS Rates'!U15)</f>
        <v>0</v>
      </c>
      <c r="V15">
        <f>kWh!V15*('Elec Rates'!V15-'CS Rates'!V15)</f>
        <v>0</v>
      </c>
      <c r="W15">
        <f>kWh!W15*('Elec Rates'!W15-'CS Rates'!W15)</f>
        <v>0</v>
      </c>
      <c r="X15">
        <f>kWh!X15*('Elec Rates'!X15-'CS Rates'!X15)</f>
        <v>0</v>
      </c>
      <c r="Y15">
        <f>kWh!Y15*('Elec Rates'!Y15-'CS Rates'!Y15)</f>
        <v>0</v>
      </c>
      <c r="Z15">
        <f>kWh!Z15*('Elec Rates'!Z15-'CS Rates'!Z15)</f>
        <v>0</v>
      </c>
      <c r="AA15">
        <f>kWh!AA15*('Elec Rates'!AA15-'CS Rates'!AA15)</f>
        <v>0</v>
      </c>
      <c r="AB15">
        <f>kWh!AB15*('Elec Rates'!AB15-'CS Rates'!AB15)</f>
        <v>0</v>
      </c>
      <c r="AC15">
        <f>kWh!AC15*('Elec Rates'!AC15-'CS Rates'!AC15)</f>
        <v>0</v>
      </c>
      <c r="AD15">
        <f>kWh!AD15*('Elec Rates'!AD15-'CS Rates'!AD15)</f>
        <v>0</v>
      </c>
      <c r="AE15">
        <f>kWh!AE15*('Elec Rates'!AE15-'CS Rates'!AE15)</f>
        <v>0</v>
      </c>
      <c r="AF15">
        <f>kWh!AF15*('Elec Rates'!AF15-'CS Rates'!AF15)</f>
        <v>0</v>
      </c>
      <c r="AG15">
        <f>kWh!AG15*('Elec Rates'!AG15-'CS Rates'!AG15)</f>
        <v>0</v>
      </c>
      <c r="AH15">
        <f>kWh!AH15*('Elec Rates'!AH15-'CS Rates'!AH15)</f>
        <v>0</v>
      </c>
      <c r="AI15">
        <f>kWh!AI15*('Elec Rates'!AI15-'CS Rates'!AI15)</f>
        <v>0</v>
      </c>
      <c r="AJ15">
        <f>kWh!AJ15*('Elec Rates'!AJ15-'CS Rates'!AJ15)</f>
        <v>0</v>
      </c>
      <c r="AK15">
        <f>kWh!AK15*('Elec Rates'!AK15-'CS Rates'!AK15)</f>
        <v>0</v>
      </c>
      <c r="AL15">
        <f>kWh!AL15*('Elec Rates'!AL15-'CS Rates'!AL15)</f>
        <v>0</v>
      </c>
      <c r="AM15">
        <f>kWh!AM15*('Elec Rates'!AM15-'CS Rates'!AM15)</f>
        <v>0</v>
      </c>
      <c r="AN15">
        <f>kWh!AN15*('Elec Rates'!AN15-'CS Rates'!AN15)</f>
        <v>0</v>
      </c>
      <c r="AO15">
        <f>kWh!AO15*('Elec Rates'!AO15-'CS Rates'!AO15)</f>
        <v>0</v>
      </c>
      <c r="AP15">
        <f>kWh!AP15*('Elec Rates'!AP15-'CS Rates'!AP15)</f>
        <v>0</v>
      </c>
      <c r="AQ15">
        <f>SUM(B15:AP15)</f>
        <v>3276.7379999999994</v>
      </c>
    </row>
    <row r="16">
      <c r="A16">
        <v>44682</v>
      </c>
      <c r="B16">
        <f>kWh!B16*('Elec Rates'!B16-'CS Rates'!B16)</f>
        <v>277.1799000000001</v>
      </c>
      <c r="C16">
        <f>kWh!C16*('Elec Rates'!C16-'CS Rates'!C16)</f>
        <v>613.2599</v>
      </c>
      <c r="D16">
        <f>kWh!D16*('Elec Rates'!D16-'CS Rates'!D16)</f>
        <v>274.23629999999997</v>
      </c>
      <c r="E16">
        <f>kWh!E16*('Elec Rates'!E16-'CS Rates'!E16)</f>
        <v>235.45799999999986</v>
      </c>
      <c r="F16">
        <f>kWh!F16*('Elec Rates'!F16-'CS Rates'!F16)</f>
        <v>589.1479999999999</v>
      </c>
      <c r="G16">
        <f>kWh!G16*('Elec Rates'!G16-'CS Rates'!G16)</f>
        <v>52.17399999999997</v>
      </c>
      <c r="H16">
        <f>kWh!H16*('Elec Rates'!H16-'CS Rates'!H16)</f>
        <v>1543.7319999999997</v>
      </c>
      <c r="I16">
        <f>kWh!I16*('Elec Rates'!I16-'CS Rates'!I16)</f>
        <v>0</v>
      </c>
      <c r="J16">
        <f>kWh!J16*('Elec Rates'!J16-'CS Rates'!J16)</f>
        <v>0</v>
      </c>
      <c r="K16">
        <f>kWh!K16*('Elec Rates'!K16-'CS Rates'!K16)</f>
        <v>0</v>
      </c>
      <c r="L16">
        <f>kWh!L16*('Elec Rates'!L16-'CS Rates'!L16)</f>
        <v>0</v>
      </c>
      <c r="M16">
        <f>kWh!M16*('Elec Rates'!M16-'CS Rates'!M16)</f>
        <v>0</v>
      </c>
      <c r="N16">
        <f>kWh!N16*('Elec Rates'!N16-'CS Rates'!N16)</f>
        <v>0</v>
      </c>
      <c r="O16">
        <f>kWh!O16*('Elec Rates'!O16-'CS Rates'!O16)</f>
        <v>0</v>
      </c>
      <c r="P16">
        <f>kWh!P16*('Elec Rates'!P16-'CS Rates'!P16)</f>
        <v>0</v>
      </c>
      <c r="Q16">
        <f>kWh!Q16*('Elec Rates'!Q16-'CS Rates'!Q16)</f>
        <v>0</v>
      </c>
      <c r="R16">
        <f>kWh!R16*('Elec Rates'!R16-'CS Rates'!R16)</f>
        <v>0</v>
      </c>
      <c r="S16">
        <f>kWh!S16*('Elec Rates'!S16-'CS Rates'!S16)</f>
        <v>0</v>
      </c>
      <c r="T16">
        <f>kWh!T16*('Elec Rates'!T16-'CS Rates'!T16)</f>
        <v>0</v>
      </c>
      <c r="U16">
        <f>kWh!U16*('Elec Rates'!U16-'CS Rates'!U16)</f>
        <v>0</v>
      </c>
      <c r="V16">
        <f>kWh!V16*('Elec Rates'!V16-'CS Rates'!V16)</f>
        <v>0</v>
      </c>
      <c r="W16">
        <f>kWh!W16*('Elec Rates'!W16-'CS Rates'!W16)</f>
        <v>0</v>
      </c>
      <c r="X16">
        <f>kWh!X16*('Elec Rates'!X16-'CS Rates'!X16)</f>
        <v>0</v>
      </c>
      <c r="Y16">
        <f>kWh!Y16*('Elec Rates'!Y16-'CS Rates'!Y16)</f>
        <v>0</v>
      </c>
      <c r="Z16">
        <f>kWh!Z16*('Elec Rates'!Z16-'CS Rates'!Z16)</f>
        <v>0</v>
      </c>
      <c r="AA16">
        <f>kWh!AA16*('Elec Rates'!AA16-'CS Rates'!AA16)</f>
        <v>0</v>
      </c>
      <c r="AB16">
        <f>kWh!AB16*('Elec Rates'!AB16-'CS Rates'!AB16)</f>
        <v>0</v>
      </c>
      <c r="AC16">
        <f>kWh!AC16*('Elec Rates'!AC16-'CS Rates'!AC16)</f>
        <v>0</v>
      </c>
      <c r="AD16">
        <f>kWh!AD16*('Elec Rates'!AD16-'CS Rates'!AD16)</f>
        <v>0</v>
      </c>
      <c r="AE16">
        <f>kWh!AE16*('Elec Rates'!AE16-'CS Rates'!AE16)</f>
        <v>0</v>
      </c>
      <c r="AF16">
        <f>kWh!AF16*('Elec Rates'!AF16-'CS Rates'!AF16)</f>
        <v>0</v>
      </c>
      <c r="AG16">
        <f>kWh!AG16*('Elec Rates'!AG16-'CS Rates'!AG16)</f>
        <v>0</v>
      </c>
      <c r="AH16">
        <f>kWh!AH16*('Elec Rates'!AH16-'CS Rates'!AH16)</f>
        <v>0</v>
      </c>
      <c r="AI16">
        <f>kWh!AI16*('Elec Rates'!AI16-'CS Rates'!AI16)</f>
        <v>0</v>
      </c>
      <c r="AJ16">
        <f>kWh!AJ16*('Elec Rates'!AJ16-'CS Rates'!AJ16)</f>
        <v>0</v>
      </c>
      <c r="AK16">
        <f>kWh!AK16*('Elec Rates'!AK16-'CS Rates'!AK16)</f>
        <v>0</v>
      </c>
      <c r="AL16">
        <f>kWh!AL16*('Elec Rates'!AL16-'CS Rates'!AL16)</f>
        <v>0</v>
      </c>
      <c r="AM16">
        <f>kWh!AM16*('Elec Rates'!AM16-'CS Rates'!AM16)</f>
        <v>0</v>
      </c>
      <c r="AN16">
        <f>kWh!AN16*('Elec Rates'!AN16-'CS Rates'!AN16)</f>
        <v>0</v>
      </c>
      <c r="AO16">
        <f>kWh!AO16*('Elec Rates'!AO16-'CS Rates'!AO16)</f>
        <v>0</v>
      </c>
      <c r="AP16">
        <f>kWh!AP16*('Elec Rates'!AP16-'CS Rates'!AP16)</f>
        <v>0</v>
      </c>
      <c r="AQ16">
        <f>SUM(B16:AP16)</f>
        <v>3585.1880999999994</v>
      </c>
    </row>
    <row r="17">
      <c r="A17">
        <v>44713</v>
      </c>
      <c r="B17">
        <f>kWh!B17*('Elec Rates'!B17-'CS Rates'!B17)</f>
        <v>1522.1560000000002</v>
      </c>
      <c r="C17">
        <f>kWh!C17*('Elec Rates'!C17-'CS Rates'!C17)</f>
        <v>542.4881</v>
      </c>
      <c r="D17">
        <f>kWh!D17*('Elec Rates'!D17-'CS Rates'!D17)</f>
        <v>1077.7294000000002</v>
      </c>
      <c r="E17">
        <f>kWh!E17*('Elec Rates'!E17-'CS Rates'!E17)</f>
        <v>1274.392</v>
      </c>
      <c r="F17">
        <f>kWh!F17*('Elec Rates'!F17-'CS Rates'!F17)</f>
        <v>533.074</v>
      </c>
      <c r="G17">
        <f>kWh!G17*('Elec Rates'!G17-'CS Rates'!G17)</f>
        <v>257.145</v>
      </c>
      <c r="H17">
        <f>kWh!H17*('Elec Rates'!H17-'CS Rates'!H17)</f>
        <v>1433.0559999999998</v>
      </c>
      <c r="I17">
        <f>kWh!I17*('Elec Rates'!I17-'CS Rates'!I17)</f>
        <v>0</v>
      </c>
      <c r="J17">
        <f>kWh!J17*('Elec Rates'!J17-'CS Rates'!J17)</f>
        <v>0</v>
      </c>
      <c r="K17">
        <f>kWh!K17*('Elec Rates'!K17-'CS Rates'!K17)</f>
        <v>0</v>
      </c>
      <c r="L17">
        <f>kWh!L17*('Elec Rates'!L17-'CS Rates'!L17)</f>
        <v>0</v>
      </c>
      <c r="M17">
        <f>kWh!M17*('Elec Rates'!M17-'CS Rates'!M17)</f>
        <v>0</v>
      </c>
      <c r="N17">
        <f>kWh!N17*('Elec Rates'!N17-'CS Rates'!N17)</f>
        <v>0</v>
      </c>
      <c r="O17">
        <f>kWh!O17*('Elec Rates'!O17-'CS Rates'!O17)</f>
        <v>0</v>
      </c>
      <c r="P17">
        <f>kWh!P17*('Elec Rates'!P17-'CS Rates'!P17)</f>
        <v>0</v>
      </c>
      <c r="Q17">
        <f>kWh!Q17*('Elec Rates'!Q17-'CS Rates'!Q17)</f>
        <v>0</v>
      </c>
      <c r="R17">
        <f>kWh!R17*('Elec Rates'!R17-'CS Rates'!R17)</f>
        <v>0</v>
      </c>
      <c r="S17">
        <f>kWh!S17*('Elec Rates'!S17-'CS Rates'!S17)</f>
        <v>0</v>
      </c>
      <c r="T17">
        <f>kWh!T17*('Elec Rates'!T17-'CS Rates'!T17)</f>
        <v>0</v>
      </c>
      <c r="U17">
        <f>kWh!U17*('Elec Rates'!U17-'CS Rates'!U17)</f>
        <v>0</v>
      </c>
      <c r="V17">
        <f>kWh!V17*('Elec Rates'!V17-'CS Rates'!V17)</f>
        <v>0</v>
      </c>
      <c r="W17">
        <f>kWh!W17*('Elec Rates'!W17-'CS Rates'!W17)</f>
        <v>0</v>
      </c>
      <c r="X17">
        <f>kWh!X17*('Elec Rates'!X17-'CS Rates'!X17)</f>
        <v>0</v>
      </c>
      <c r="Y17">
        <f>kWh!Y17*('Elec Rates'!Y17-'CS Rates'!Y17)</f>
        <v>0</v>
      </c>
      <c r="Z17">
        <f>kWh!Z17*('Elec Rates'!Z17-'CS Rates'!Z17)</f>
        <v>0</v>
      </c>
      <c r="AA17">
        <f>kWh!AA17*('Elec Rates'!AA17-'CS Rates'!AA17)</f>
        <v>0</v>
      </c>
      <c r="AB17">
        <f>kWh!AB17*('Elec Rates'!AB17-'CS Rates'!AB17)</f>
        <v>0</v>
      </c>
      <c r="AC17">
        <f>kWh!AC17*('Elec Rates'!AC17-'CS Rates'!AC17)</f>
        <v>0</v>
      </c>
      <c r="AD17">
        <f>kWh!AD17*('Elec Rates'!AD17-'CS Rates'!AD17)</f>
        <v>0</v>
      </c>
      <c r="AE17">
        <f>kWh!AE17*('Elec Rates'!AE17-'CS Rates'!AE17)</f>
        <v>0</v>
      </c>
      <c r="AF17">
        <f>kWh!AF17*('Elec Rates'!AF17-'CS Rates'!AF17)</f>
        <v>0</v>
      </c>
      <c r="AG17">
        <f>kWh!AG17*('Elec Rates'!AG17-'CS Rates'!AG17)</f>
        <v>0</v>
      </c>
      <c r="AH17">
        <f>kWh!AH17*('Elec Rates'!AH17-'CS Rates'!AH17)</f>
        <v>0</v>
      </c>
      <c r="AI17">
        <f>kWh!AI17*('Elec Rates'!AI17-'CS Rates'!AI17)</f>
        <v>0</v>
      </c>
      <c r="AJ17">
        <f>kWh!AJ17*('Elec Rates'!AJ17-'CS Rates'!AJ17)</f>
        <v>0</v>
      </c>
      <c r="AK17">
        <f>kWh!AK17*('Elec Rates'!AK17-'CS Rates'!AK17)</f>
        <v>0</v>
      </c>
      <c r="AL17">
        <f>kWh!AL17*('Elec Rates'!AL17-'CS Rates'!AL17)</f>
        <v>0</v>
      </c>
      <c r="AM17">
        <f>kWh!AM17*('Elec Rates'!AM17-'CS Rates'!AM17)</f>
        <v>0</v>
      </c>
      <c r="AN17">
        <f>kWh!AN17*('Elec Rates'!AN17-'CS Rates'!AN17)</f>
        <v>0</v>
      </c>
      <c r="AO17">
        <f>kWh!AO17*('Elec Rates'!AO17-'CS Rates'!AO17)</f>
        <v>0</v>
      </c>
      <c r="AP17">
        <f>kWh!AP17*('Elec Rates'!AP17-'CS Rates'!AP17)</f>
        <v>0</v>
      </c>
      <c r="AQ17">
        <f>SUM(B17:AP17)</f>
        <v>6640.0405</v>
      </c>
    </row>
    <row r="18">
      <c r="A18">
        <v>44743</v>
      </c>
      <c r="B18">
        <f>kWh!B18*('Elec Rates'!B18-'CS Rates'!B18)</f>
        <v>1041.2965800000002</v>
      </c>
      <c r="C18">
        <f>kWh!C18*('Elec Rates'!C18-'CS Rates'!C18)</f>
        <v>318.63976</v>
      </c>
      <c r="D18">
        <f>kWh!D18*('Elec Rates'!D18-'CS Rates'!D18)</f>
        <v>838.7676900000001</v>
      </c>
      <c r="E18">
        <f>kWh!E18*('Elec Rates'!E18-'CS Rates'!E18)</f>
        <v>991.8854999999999</v>
      </c>
      <c r="F18">
        <f>kWh!F18*('Elec Rates'!F18-'CS Rates'!F18)</f>
        <v>470.23339999999996</v>
      </c>
      <c r="G18">
        <f>kWh!G18*('Elec Rates'!G18-'CS Rates'!G18)</f>
        <v>229.8472</v>
      </c>
      <c r="H18">
        <f>kWh!H18*('Elec Rates'!H18-'CS Rates'!H18)</f>
        <v>1285.3649999999998</v>
      </c>
      <c r="I18">
        <f>kWh!I18*('Elec Rates'!I18-'CS Rates'!I18)</f>
        <v>0</v>
      </c>
      <c r="J18">
        <f>kWh!J18*('Elec Rates'!J18-'CS Rates'!J18)</f>
        <v>0</v>
      </c>
      <c r="K18">
        <f>kWh!K18*('Elec Rates'!K18-'CS Rates'!K18)</f>
        <v>0</v>
      </c>
      <c r="L18">
        <f>kWh!L18*('Elec Rates'!L18-'CS Rates'!L18)</f>
        <v>0</v>
      </c>
      <c r="M18">
        <f>kWh!M18*('Elec Rates'!M18-'CS Rates'!M18)</f>
        <v>0</v>
      </c>
      <c r="N18">
        <f>kWh!N18*('Elec Rates'!N18-'CS Rates'!N18)</f>
        <v>0</v>
      </c>
      <c r="O18">
        <f>kWh!O18*('Elec Rates'!O18-'CS Rates'!O18)</f>
        <v>0</v>
      </c>
      <c r="P18">
        <f>kWh!P18*('Elec Rates'!P18-'CS Rates'!P18)</f>
        <v>0</v>
      </c>
      <c r="Q18">
        <f>kWh!Q18*('Elec Rates'!Q18-'CS Rates'!Q18)</f>
        <v>0</v>
      </c>
      <c r="R18">
        <f>kWh!R18*('Elec Rates'!R18-'CS Rates'!R18)</f>
        <v>0</v>
      </c>
      <c r="S18">
        <f>kWh!S18*('Elec Rates'!S18-'CS Rates'!S18)</f>
        <v>0</v>
      </c>
      <c r="T18">
        <f>kWh!T18*('Elec Rates'!T18-'CS Rates'!T18)</f>
        <v>0</v>
      </c>
      <c r="U18">
        <f>kWh!U18*('Elec Rates'!U18-'CS Rates'!U18)</f>
        <v>0</v>
      </c>
      <c r="V18">
        <f>kWh!V18*('Elec Rates'!V18-'CS Rates'!V18)</f>
        <v>0</v>
      </c>
      <c r="W18">
        <f>kWh!W18*('Elec Rates'!W18-'CS Rates'!W18)</f>
        <v>0</v>
      </c>
      <c r="X18">
        <f>kWh!X18*('Elec Rates'!X18-'CS Rates'!X18)</f>
        <v>0</v>
      </c>
      <c r="Y18">
        <f>kWh!Y18*('Elec Rates'!Y18-'CS Rates'!Y18)</f>
        <v>0</v>
      </c>
      <c r="Z18">
        <f>kWh!Z18*('Elec Rates'!Z18-'CS Rates'!Z18)</f>
        <v>0</v>
      </c>
      <c r="AA18">
        <f>kWh!AA18*('Elec Rates'!AA18-'CS Rates'!AA18)</f>
        <v>0</v>
      </c>
      <c r="AB18">
        <f>kWh!AB18*('Elec Rates'!AB18-'CS Rates'!AB18)</f>
        <v>0</v>
      </c>
      <c r="AC18">
        <f>kWh!AC18*('Elec Rates'!AC18-'CS Rates'!AC18)</f>
        <v>0</v>
      </c>
      <c r="AD18">
        <f>kWh!AD18*('Elec Rates'!AD18-'CS Rates'!AD18)</f>
        <v>0</v>
      </c>
      <c r="AE18">
        <f>kWh!AE18*('Elec Rates'!AE18-'CS Rates'!AE18)</f>
        <v>0</v>
      </c>
      <c r="AF18">
        <f>kWh!AF18*('Elec Rates'!AF18-'CS Rates'!AF18)</f>
        <v>0</v>
      </c>
      <c r="AG18">
        <f>kWh!AG18*('Elec Rates'!AG18-'CS Rates'!AG18)</f>
        <v>0</v>
      </c>
      <c r="AH18">
        <f>kWh!AH18*('Elec Rates'!AH18-'CS Rates'!AH18)</f>
        <v>0</v>
      </c>
      <c r="AI18">
        <f>kWh!AI18*('Elec Rates'!AI18-'CS Rates'!AI18)</f>
        <v>0</v>
      </c>
      <c r="AJ18">
        <f>kWh!AJ18*('Elec Rates'!AJ18-'CS Rates'!AJ18)</f>
        <v>0</v>
      </c>
      <c r="AK18">
        <f>kWh!AK18*('Elec Rates'!AK18-'CS Rates'!AK18)</f>
        <v>0</v>
      </c>
      <c r="AL18">
        <f>kWh!AL18*('Elec Rates'!AL18-'CS Rates'!AL18)</f>
        <v>0</v>
      </c>
      <c r="AM18">
        <f>kWh!AM18*('Elec Rates'!AM18-'CS Rates'!AM18)</f>
        <v>0</v>
      </c>
      <c r="AN18">
        <f>kWh!AN18*('Elec Rates'!AN18-'CS Rates'!AN18)</f>
        <v>0</v>
      </c>
      <c r="AO18">
        <f>kWh!AO18*('Elec Rates'!AO18-'CS Rates'!AO18)</f>
        <v>0</v>
      </c>
      <c r="AP18">
        <f>kWh!AP18*('Elec Rates'!AP18-'CS Rates'!AP18)</f>
        <v>0</v>
      </c>
      <c r="AQ18">
        <f>SUM(B18:AP18)</f>
        <v>5176.03513</v>
      </c>
    </row>
    <row r="19">
      <c r="A19">
        <v>44774</v>
      </c>
      <c r="B19">
        <f>kWh!B19*('Elec Rates'!B19-'CS Rates'!B19)</f>
        <v>760.5061800000001</v>
      </c>
      <c r="C19">
        <f>kWh!C19*('Elec Rates'!C19-'CS Rates'!C19)</f>
        <v>385.03619</v>
      </c>
      <c r="D19">
        <f>kWh!D19*('Elec Rates'!D19-'CS Rates'!D19)</f>
        <v>884.7338600000002</v>
      </c>
      <c r="E19">
        <f>kWh!E19*('Elec Rates'!E19-'CS Rates'!E19)</f>
        <v>834.6449999999999</v>
      </c>
      <c r="F19">
        <f>kWh!F19*('Elec Rates'!F19-'CS Rates'!F19)</f>
        <v>425.1902</v>
      </c>
      <c r="G19">
        <f>kWh!G19*('Elec Rates'!G19-'CS Rates'!G19)</f>
        <v>205.9788</v>
      </c>
      <c r="H19">
        <f>kWh!H19*('Elec Rates'!H19-'CS Rates'!H19)</f>
        <v>1094.0217999999998</v>
      </c>
      <c r="I19">
        <f>kWh!I19*('Elec Rates'!I19-'CS Rates'!I19)</f>
        <v>0</v>
      </c>
      <c r="J19">
        <f>kWh!J19*('Elec Rates'!J19-'CS Rates'!J19)</f>
        <v>0</v>
      </c>
      <c r="K19">
        <f>kWh!K19*('Elec Rates'!K19-'CS Rates'!K19)</f>
        <v>0</v>
      </c>
      <c r="L19">
        <f>kWh!L19*('Elec Rates'!L19-'CS Rates'!L19)</f>
        <v>0</v>
      </c>
      <c r="M19">
        <f>kWh!M19*('Elec Rates'!M19-'CS Rates'!M19)</f>
        <v>0</v>
      </c>
      <c r="N19">
        <f>kWh!N19*('Elec Rates'!N19-'CS Rates'!N19)</f>
        <v>0</v>
      </c>
      <c r="O19">
        <f>kWh!O19*('Elec Rates'!O19-'CS Rates'!O19)</f>
        <v>0</v>
      </c>
      <c r="P19">
        <f>kWh!P19*('Elec Rates'!P19-'CS Rates'!P19)</f>
        <v>0</v>
      </c>
      <c r="Q19">
        <f>kWh!Q19*('Elec Rates'!Q19-'CS Rates'!Q19)</f>
        <v>0</v>
      </c>
      <c r="R19">
        <f>kWh!R19*('Elec Rates'!R19-'CS Rates'!R19)</f>
        <v>0</v>
      </c>
      <c r="S19">
        <f>kWh!S19*('Elec Rates'!S19-'CS Rates'!S19)</f>
        <v>0</v>
      </c>
      <c r="T19">
        <f>kWh!T19*('Elec Rates'!T19-'CS Rates'!T19)</f>
        <v>0</v>
      </c>
      <c r="U19">
        <f>kWh!U19*('Elec Rates'!U19-'CS Rates'!U19)</f>
        <v>0</v>
      </c>
      <c r="V19">
        <f>kWh!V19*('Elec Rates'!V19-'CS Rates'!V19)</f>
        <v>0</v>
      </c>
      <c r="W19">
        <f>kWh!W19*('Elec Rates'!W19-'CS Rates'!W19)</f>
        <v>0</v>
      </c>
      <c r="X19">
        <f>kWh!X19*('Elec Rates'!X19-'CS Rates'!X19)</f>
        <v>0</v>
      </c>
      <c r="Y19">
        <f>kWh!Y19*('Elec Rates'!Y19-'CS Rates'!Y19)</f>
        <v>0</v>
      </c>
      <c r="Z19">
        <f>kWh!Z19*('Elec Rates'!Z19-'CS Rates'!Z19)</f>
        <v>0</v>
      </c>
      <c r="AA19">
        <f>kWh!AA19*('Elec Rates'!AA19-'CS Rates'!AA19)</f>
        <v>0</v>
      </c>
      <c r="AB19">
        <f>kWh!AB19*('Elec Rates'!AB19-'CS Rates'!AB19)</f>
        <v>0</v>
      </c>
      <c r="AC19">
        <f>kWh!AC19*('Elec Rates'!AC19-'CS Rates'!AC19)</f>
        <v>0</v>
      </c>
      <c r="AD19">
        <f>kWh!AD19*('Elec Rates'!AD19-'CS Rates'!AD19)</f>
        <v>0</v>
      </c>
      <c r="AE19">
        <f>kWh!AE19*('Elec Rates'!AE19-'CS Rates'!AE19)</f>
        <v>0</v>
      </c>
      <c r="AF19">
        <f>kWh!AF19*('Elec Rates'!AF19-'CS Rates'!AF19)</f>
        <v>0</v>
      </c>
      <c r="AG19">
        <f>kWh!AG19*('Elec Rates'!AG19-'CS Rates'!AG19)</f>
        <v>0</v>
      </c>
      <c r="AH19">
        <f>kWh!AH19*('Elec Rates'!AH19-'CS Rates'!AH19)</f>
        <v>0</v>
      </c>
      <c r="AI19">
        <f>kWh!AI19*('Elec Rates'!AI19-'CS Rates'!AI19)</f>
        <v>0</v>
      </c>
      <c r="AJ19">
        <f>kWh!AJ19*('Elec Rates'!AJ19-'CS Rates'!AJ19)</f>
        <v>0</v>
      </c>
      <c r="AK19">
        <f>kWh!AK19*('Elec Rates'!AK19-'CS Rates'!AK19)</f>
        <v>0</v>
      </c>
      <c r="AL19">
        <f>kWh!AL19*('Elec Rates'!AL19-'CS Rates'!AL19)</f>
        <v>0</v>
      </c>
      <c r="AM19">
        <f>kWh!AM19*('Elec Rates'!AM19-'CS Rates'!AM19)</f>
        <v>0</v>
      </c>
      <c r="AN19">
        <f>kWh!AN19*('Elec Rates'!AN19-'CS Rates'!AN19)</f>
        <v>0</v>
      </c>
      <c r="AO19">
        <f>kWh!AO19*('Elec Rates'!AO19-'CS Rates'!AO19)</f>
        <v>0</v>
      </c>
      <c r="AP19">
        <f>kWh!AP19*('Elec Rates'!AP19-'CS Rates'!AP19)</f>
        <v>0</v>
      </c>
      <c r="AQ19">
        <f>SUM(B19:AP19)</f>
        <v>4590.11203</v>
      </c>
    </row>
    <row r="20">
      <c r="A20">
        <v>44805</v>
      </c>
      <c r="B20">
        <f>kWh!B20*('Elec Rates'!B20-'CS Rates'!B20)</f>
        <v>863.6451</v>
      </c>
      <c r="C20">
        <f>kWh!C20*('Elec Rates'!C20-'CS Rates'!C20)</f>
        <v>487.6588800000001</v>
      </c>
      <c r="D20">
        <f>kWh!D20*('Elec Rates'!D20-'CS Rates'!D20)</f>
        <v>908.0203200000002</v>
      </c>
      <c r="E20">
        <f>kWh!E20*('Elec Rates'!E20-'CS Rates'!E20)</f>
        <v>807.6646999999998</v>
      </c>
      <c r="F20">
        <f>kWh!F20*('Elec Rates'!F20-'CS Rates'!F20)</f>
        <v>425.89450000000005</v>
      </c>
      <c r="G20">
        <f>kWh!G20*('Elec Rates'!G20-'CS Rates'!G20)</f>
        <v>217.01810000000003</v>
      </c>
      <c r="H20">
        <f>kWh!H20*('Elec Rates'!H20-'CS Rates'!H20)</f>
        <v>1170.3691999999996</v>
      </c>
      <c r="I20">
        <f>kWh!I20*('Elec Rates'!I20-'CS Rates'!I20)</f>
        <v>0</v>
      </c>
      <c r="J20">
        <f>kWh!J20*('Elec Rates'!J20-'CS Rates'!J20)</f>
        <v>0</v>
      </c>
      <c r="K20">
        <f>kWh!K20*('Elec Rates'!K20-'CS Rates'!K20)</f>
        <v>0</v>
      </c>
      <c r="L20">
        <f>kWh!L20*('Elec Rates'!L20-'CS Rates'!L20)</f>
        <v>0</v>
      </c>
      <c r="M20">
        <f>kWh!M20*('Elec Rates'!M20-'CS Rates'!M20)</f>
        <v>0</v>
      </c>
      <c r="N20">
        <f>kWh!N20*('Elec Rates'!N20-'CS Rates'!N20)</f>
        <v>0</v>
      </c>
      <c r="O20">
        <f>kWh!O20*('Elec Rates'!O20-'CS Rates'!O20)</f>
        <v>0</v>
      </c>
      <c r="P20">
        <f>kWh!P20*('Elec Rates'!P20-'CS Rates'!P20)</f>
        <v>0</v>
      </c>
      <c r="Q20">
        <f>kWh!Q20*('Elec Rates'!Q20-'CS Rates'!Q20)</f>
        <v>0</v>
      </c>
      <c r="R20">
        <f>kWh!R20*('Elec Rates'!R20-'CS Rates'!R20)</f>
        <v>0</v>
      </c>
      <c r="S20">
        <f>kWh!S20*('Elec Rates'!S20-'CS Rates'!S20)</f>
        <v>0</v>
      </c>
      <c r="T20">
        <f>kWh!T20*('Elec Rates'!T20-'CS Rates'!T20)</f>
        <v>0</v>
      </c>
      <c r="U20">
        <f>kWh!U20*('Elec Rates'!U20-'CS Rates'!U20)</f>
        <v>0</v>
      </c>
      <c r="V20">
        <f>kWh!V20*('Elec Rates'!V20-'CS Rates'!V20)</f>
        <v>0</v>
      </c>
      <c r="W20">
        <f>kWh!W20*('Elec Rates'!W20-'CS Rates'!W20)</f>
        <v>0</v>
      </c>
      <c r="X20">
        <f>kWh!X20*('Elec Rates'!X20-'CS Rates'!X20)</f>
        <v>0</v>
      </c>
      <c r="Y20">
        <f>kWh!Y20*('Elec Rates'!Y20-'CS Rates'!Y20)</f>
        <v>0</v>
      </c>
      <c r="Z20">
        <f>kWh!Z20*('Elec Rates'!Z20-'CS Rates'!Z20)</f>
        <v>0</v>
      </c>
      <c r="AA20">
        <f>kWh!AA20*('Elec Rates'!AA20-'CS Rates'!AA20)</f>
        <v>0</v>
      </c>
      <c r="AB20">
        <f>kWh!AB20*('Elec Rates'!AB20-'CS Rates'!AB20)</f>
        <v>0</v>
      </c>
      <c r="AC20">
        <f>kWh!AC20*('Elec Rates'!AC20-'CS Rates'!AC20)</f>
        <v>0</v>
      </c>
      <c r="AD20">
        <f>kWh!AD20*('Elec Rates'!AD20-'CS Rates'!AD20)</f>
        <v>0</v>
      </c>
      <c r="AE20">
        <f>kWh!AE20*('Elec Rates'!AE20-'CS Rates'!AE20)</f>
        <v>0</v>
      </c>
      <c r="AF20">
        <f>kWh!AF20*('Elec Rates'!AF20-'CS Rates'!AF20)</f>
        <v>0</v>
      </c>
      <c r="AG20">
        <f>kWh!AG20*('Elec Rates'!AG20-'CS Rates'!AG20)</f>
        <v>0</v>
      </c>
      <c r="AH20">
        <f>kWh!AH20*('Elec Rates'!AH20-'CS Rates'!AH20)</f>
        <v>0</v>
      </c>
      <c r="AI20">
        <f>kWh!AI20*('Elec Rates'!AI20-'CS Rates'!AI20)</f>
        <v>0</v>
      </c>
      <c r="AJ20">
        <f>kWh!AJ20*('Elec Rates'!AJ20-'CS Rates'!AJ20)</f>
        <v>0</v>
      </c>
      <c r="AK20">
        <f>kWh!AK20*('Elec Rates'!AK20-'CS Rates'!AK20)</f>
        <v>0</v>
      </c>
      <c r="AL20">
        <f>kWh!AL20*('Elec Rates'!AL20-'CS Rates'!AL20)</f>
        <v>0</v>
      </c>
      <c r="AM20">
        <f>kWh!AM20*('Elec Rates'!AM20-'CS Rates'!AM20)</f>
        <v>0</v>
      </c>
      <c r="AN20">
        <f>kWh!AN20*('Elec Rates'!AN20-'CS Rates'!AN20)</f>
        <v>0</v>
      </c>
      <c r="AO20">
        <f>kWh!AO20*('Elec Rates'!AO20-'CS Rates'!AO20)</f>
        <v>0</v>
      </c>
      <c r="AP20">
        <f>kWh!AP20*('Elec Rates'!AP20-'CS Rates'!AP20)</f>
        <v>0</v>
      </c>
      <c r="AQ20">
        <f>SUM(B20:AP20)</f>
        <v>4880.2708</v>
      </c>
    </row>
    <row r="21">
      <c r="A21">
        <v>44835</v>
      </c>
      <c r="B21">
        <f>kWh!B21*('Elec Rates'!B21-'CS Rates'!B21)</f>
        <v>270.13752</v>
      </c>
      <c r="C21">
        <f>kWh!C21*('Elec Rates'!C21-'CS Rates'!C21)</f>
        <v>522.6507000000001</v>
      </c>
      <c r="D21">
        <f>kWh!D21*('Elec Rates'!D21-'CS Rates'!D21)</f>
        <v>213.06168</v>
      </c>
      <c r="E21">
        <f>kWh!E21*('Elec Rates'!E21-'CS Rates'!E21)</f>
        <v>182.938</v>
      </c>
      <c r="F21">
        <f>kWh!F21*('Elec Rates'!F21-'CS Rates'!F21)</f>
        <v>405.1476</v>
      </c>
      <c r="G21">
        <f>kWh!G21*('Elec Rates'!G21-'CS Rates'!G21)</f>
        <v>60.363499999999995</v>
      </c>
      <c r="H21">
        <f>kWh!H21*('Elec Rates'!H21-'CS Rates'!H21)</f>
        <v>1235.5022</v>
      </c>
      <c r="I21">
        <f>kWh!I21*('Elec Rates'!I21-'CS Rates'!I21)</f>
        <v>0</v>
      </c>
      <c r="J21">
        <f>kWh!J21*('Elec Rates'!J21-'CS Rates'!J21)</f>
        <v>0</v>
      </c>
      <c r="K21">
        <f>kWh!K21*('Elec Rates'!K21-'CS Rates'!K21)</f>
        <v>0</v>
      </c>
      <c r="L21">
        <f>kWh!L21*('Elec Rates'!L21-'CS Rates'!L21)</f>
        <v>0</v>
      </c>
      <c r="M21">
        <f>kWh!M21*('Elec Rates'!M21-'CS Rates'!M21)</f>
        <v>0</v>
      </c>
      <c r="N21">
        <f>kWh!N21*('Elec Rates'!N21-'CS Rates'!N21)</f>
        <v>0</v>
      </c>
      <c r="O21">
        <f>kWh!O21*('Elec Rates'!O21-'CS Rates'!O21)</f>
        <v>0</v>
      </c>
      <c r="P21">
        <f>kWh!P21*('Elec Rates'!P21-'CS Rates'!P21)</f>
        <v>0</v>
      </c>
      <c r="Q21">
        <f>kWh!Q21*('Elec Rates'!Q21-'CS Rates'!Q21)</f>
        <v>0</v>
      </c>
      <c r="R21">
        <f>kWh!R21*('Elec Rates'!R21-'CS Rates'!R21)</f>
        <v>0</v>
      </c>
      <c r="S21">
        <f>kWh!S21*('Elec Rates'!S21-'CS Rates'!S21)</f>
        <v>0</v>
      </c>
      <c r="T21">
        <f>kWh!T21*('Elec Rates'!T21-'CS Rates'!T21)</f>
        <v>0</v>
      </c>
      <c r="U21">
        <f>kWh!U21*('Elec Rates'!U21-'CS Rates'!U21)</f>
        <v>0</v>
      </c>
      <c r="V21">
        <f>kWh!V21*('Elec Rates'!V21-'CS Rates'!V21)</f>
        <v>0</v>
      </c>
      <c r="W21">
        <f>kWh!W21*('Elec Rates'!W21-'CS Rates'!W21)</f>
        <v>0</v>
      </c>
      <c r="X21">
        <f>kWh!X21*('Elec Rates'!X21-'CS Rates'!X21)</f>
        <v>0</v>
      </c>
      <c r="Y21">
        <f>kWh!Y21*('Elec Rates'!Y21-'CS Rates'!Y21)</f>
        <v>0</v>
      </c>
      <c r="Z21">
        <f>kWh!Z21*('Elec Rates'!Z21-'CS Rates'!Z21)</f>
        <v>0</v>
      </c>
      <c r="AA21">
        <f>kWh!AA21*('Elec Rates'!AA21-'CS Rates'!AA21)</f>
        <v>0</v>
      </c>
      <c r="AB21">
        <f>kWh!AB21*('Elec Rates'!AB21-'CS Rates'!AB21)</f>
        <v>0</v>
      </c>
      <c r="AC21">
        <f>kWh!AC21*('Elec Rates'!AC21-'CS Rates'!AC21)</f>
        <v>0</v>
      </c>
      <c r="AD21">
        <f>kWh!AD21*('Elec Rates'!AD21-'CS Rates'!AD21)</f>
        <v>0</v>
      </c>
      <c r="AE21">
        <f>kWh!AE21*('Elec Rates'!AE21-'CS Rates'!AE21)</f>
        <v>0</v>
      </c>
      <c r="AF21">
        <f>kWh!AF21*('Elec Rates'!AF21-'CS Rates'!AF21)</f>
        <v>0</v>
      </c>
      <c r="AG21">
        <f>kWh!AG21*('Elec Rates'!AG21-'CS Rates'!AG21)</f>
        <v>0</v>
      </c>
      <c r="AH21">
        <f>kWh!AH21*('Elec Rates'!AH21-'CS Rates'!AH21)</f>
        <v>0</v>
      </c>
      <c r="AI21">
        <f>kWh!AI21*('Elec Rates'!AI21-'CS Rates'!AI21)</f>
        <v>0</v>
      </c>
      <c r="AJ21">
        <f>kWh!AJ21*('Elec Rates'!AJ21-'CS Rates'!AJ21)</f>
        <v>0</v>
      </c>
      <c r="AK21">
        <f>kWh!AK21*('Elec Rates'!AK21-'CS Rates'!AK21)</f>
        <v>0</v>
      </c>
      <c r="AL21">
        <f>kWh!AL21*('Elec Rates'!AL21-'CS Rates'!AL21)</f>
        <v>0</v>
      </c>
      <c r="AM21">
        <f>kWh!AM21*('Elec Rates'!AM21-'CS Rates'!AM21)</f>
        <v>0</v>
      </c>
      <c r="AN21">
        <f>kWh!AN21*('Elec Rates'!AN21-'CS Rates'!AN21)</f>
        <v>0</v>
      </c>
      <c r="AO21">
        <f>kWh!AO21*('Elec Rates'!AO21-'CS Rates'!AO21)</f>
        <v>0</v>
      </c>
      <c r="AP21">
        <f>kWh!AP21*('Elec Rates'!AP21-'CS Rates'!AP21)</f>
        <v>0</v>
      </c>
      <c r="AQ21">
        <f>SUM(B21:AP21)</f>
        <v>2889.8012</v>
      </c>
    </row>
    <row r="22">
      <c r="A22">
        <v>44866</v>
      </c>
      <c r="B22">
        <f>kWh!B22*('Elec Rates'!B22-'CS Rates'!B22)</f>
        <v>151.80572</v>
      </c>
      <c r="C22">
        <f>kWh!C22*('Elec Rates'!C22-'CS Rates'!C22)</f>
        <v>378.66590999999994</v>
      </c>
      <c r="D22">
        <f>kWh!D22*('Elec Rates'!D22-'CS Rates'!D22)</f>
        <v>132.49469999999997</v>
      </c>
      <c r="E22">
        <f>kWh!E22*('Elec Rates'!E22-'CS Rates'!E22)</f>
        <v>127.15353</v>
      </c>
      <c r="F22">
        <f>kWh!F22*('Elec Rates'!F22-'CS Rates'!F22)</f>
        <v>260.64</v>
      </c>
      <c r="G22">
        <f>kWh!G22*('Elec Rates'!G22-'CS Rates'!G22)</f>
        <v>38.59109999999999</v>
      </c>
      <c r="H22">
        <f>kWh!H22*('Elec Rates'!H22-'CS Rates'!H22)</f>
        <v>634.0659999999999</v>
      </c>
      <c r="I22">
        <f>kWh!I22*('Elec Rates'!I22-'CS Rates'!I22)</f>
        <v>0</v>
      </c>
      <c r="J22">
        <f>kWh!J22*('Elec Rates'!J22-'CS Rates'!J22)</f>
        <v>0</v>
      </c>
      <c r="K22">
        <f>kWh!K22*('Elec Rates'!K22-'CS Rates'!K22)</f>
        <v>0</v>
      </c>
      <c r="L22">
        <f>kWh!L22*('Elec Rates'!L22-'CS Rates'!L22)</f>
        <v>0</v>
      </c>
      <c r="M22">
        <f>kWh!M22*('Elec Rates'!M22-'CS Rates'!M22)</f>
        <v>0</v>
      </c>
      <c r="N22">
        <f>kWh!N22*('Elec Rates'!N22-'CS Rates'!N22)</f>
        <v>0</v>
      </c>
      <c r="O22">
        <f>kWh!O22*('Elec Rates'!O22-'CS Rates'!O22)</f>
        <v>0</v>
      </c>
      <c r="P22">
        <f>kWh!P22*('Elec Rates'!P22-'CS Rates'!P22)</f>
        <v>0</v>
      </c>
      <c r="Q22">
        <f>kWh!Q22*('Elec Rates'!Q22-'CS Rates'!Q22)</f>
        <v>0</v>
      </c>
      <c r="R22">
        <f>kWh!R22*('Elec Rates'!R22-'CS Rates'!R22)</f>
        <v>0</v>
      </c>
      <c r="S22">
        <f>kWh!S22*('Elec Rates'!S22-'CS Rates'!S22)</f>
        <v>0</v>
      </c>
      <c r="T22">
        <f>kWh!T22*('Elec Rates'!T22-'CS Rates'!T22)</f>
        <v>0</v>
      </c>
      <c r="U22">
        <f>kWh!U22*('Elec Rates'!U22-'CS Rates'!U22)</f>
        <v>0</v>
      </c>
      <c r="V22">
        <f>kWh!V22*('Elec Rates'!V22-'CS Rates'!V22)</f>
        <v>0</v>
      </c>
      <c r="W22">
        <f>kWh!W22*('Elec Rates'!W22-'CS Rates'!W22)</f>
        <v>0</v>
      </c>
      <c r="X22">
        <f>kWh!X22*('Elec Rates'!X22-'CS Rates'!X22)</f>
        <v>0</v>
      </c>
      <c r="Y22">
        <f>kWh!Y22*('Elec Rates'!Y22-'CS Rates'!Y22)</f>
        <v>0</v>
      </c>
      <c r="Z22">
        <f>kWh!Z22*('Elec Rates'!Z22-'CS Rates'!Z22)</f>
        <v>0</v>
      </c>
      <c r="AA22">
        <f>kWh!AA22*('Elec Rates'!AA22-'CS Rates'!AA22)</f>
        <v>0</v>
      </c>
      <c r="AB22">
        <f>kWh!AB22*('Elec Rates'!AB22-'CS Rates'!AB22)</f>
        <v>0</v>
      </c>
      <c r="AC22">
        <f>kWh!AC22*('Elec Rates'!AC22-'CS Rates'!AC22)</f>
        <v>0</v>
      </c>
      <c r="AD22">
        <f>kWh!AD22*('Elec Rates'!AD22-'CS Rates'!AD22)</f>
        <v>0</v>
      </c>
      <c r="AE22">
        <f>kWh!AE22*('Elec Rates'!AE22-'CS Rates'!AE22)</f>
        <v>0</v>
      </c>
      <c r="AF22">
        <f>kWh!AF22*('Elec Rates'!AF22-'CS Rates'!AF22)</f>
        <v>0</v>
      </c>
      <c r="AG22">
        <f>kWh!AG22*('Elec Rates'!AG22-'CS Rates'!AG22)</f>
        <v>0</v>
      </c>
      <c r="AH22">
        <f>kWh!AH22*('Elec Rates'!AH22-'CS Rates'!AH22)</f>
        <v>0</v>
      </c>
      <c r="AI22">
        <f>kWh!AI22*('Elec Rates'!AI22-'CS Rates'!AI22)</f>
        <v>0</v>
      </c>
      <c r="AJ22">
        <f>kWh!AJ22*('Elec Rates'!AJ22-'CS Rates'!AJ22)</f>
        <v>0</v>
      </c>
      <c r="AK22">
        <f>kWh!AK22*('Elec Rates'!AK22-'CS Rates'!AK22)</f>
        <v>0</v>
      </c>
      <c r="AL22">
        <f>kWh!AL22*('Elec Rates'!AL22-'CS Rates'!AL22)</f>
        <v>0</v>
      </c>
      <c r="AM22">
        <f>kWh!AM22*('Elec Rates'!AM22-'CS Rates'!AM22)</f>
        <v>0</v>
      </c>
      <c r="AN22">
        <f>kWh!AN22*('Elec Rates'!AN22-'CS Rates'!AN22)</f>
        <v>0</v>
      </c>
      <c r="AO22">
        <f>kWh!AO22*('Elec Rates'!AO22-'CS Rates'!AO22)</f>
        <v>0</v>
      </c>
      <c r="AP22">
        <f>kWh!AP22*('Elec Rates'!AP22-'CS Rates'!AP22)</f>
        <v>0</v>
      </c>
      <c r="AQ22">
        <f>SUM(B22:AP22)</f>
        <v>1723.41696</v>
      </c>
    </row>
    <row r="23">
      <c r="A23">
        <v>44896</v>
      </c>
      <c r="B23">
        <f>kWh!B23*('Elec Rates'!B23-'CS Rates'!B23)</f>
        <v>98.87268000000003</v>
      </c>
      <c r="C23">
        <f>kWh!C23*('Elec Rates'!C23-'CS Rates'!C23)</f>
        <v>304.0766</v>
      </c>
      <c r="D23">
        <f>kWh!D23*('Elec Rates'!D23-'CS Rates'!D23)</f>
        <v>97.38749999999999</v>
      </c>
      <c r="E23">
        <f>kWh!E23*('Elec Rates'!E23-'CS Rates'!E23)</f>
        <v>120.95673000000002</v>
      </c>
      <c r="F23">
        <f>kWh!F23*('Elec Rates'!F23-'CS Rates'!F23)</f>
        <v>166.30212</v>
      </c>
      <c r="G23">
        <f>kWh!G23*('Elec Rates'!G23-'CS Rates'!G23)</f>
        <v>28.495170000000005</v>
      </c>
      <c r="H23">
        <f>kWh!H23*('Elec Rates'!H23-'CS Rates'!H23)</f>
        <v>530.1924999999999</v>
      </c>
      <c r="I23">
        <f>kWh!I23*('Elec Rates'!I23-'CS Rates'!I23)</f>
        <v>0</v>
      </c>
      <c r="J23">
        <f>kWh!J23*('Elec Rates'!J23-'CS Rates'!J23)</f>
        <v>0</v>
      </c>
      <c r="K23">
        <f>kWh!K23*('Elec Rates'!K23-'CS Rates'!K23)</f>
        <v>0</v>
      </c>
      <c r="L23">
        <f>kWh!L23*('Elec Rates'!L23-'CS Rates'!L23)</f>
        <v>0</v>
      </c>
      <c r="M23">
        <f>kWh!M23*('Elec Rates'!M23-'CS Rates'!M23)</f>
        <v>0</v>
      </c>
      <c r="N23">
        <f>kWh!N23*('Elec Rates'!N23-'CS Rates'!N23)</f>
        <v>0</v>
      </c>
      <c r="O23">
        <f>kWh!O23*('Elec Rates'!O23-'CS Rates'!O23)</f>
        <v>0</v>
      </c>
      <c r="P23">
        <f>kWh!P23*('Elec Rates'!P23-'CS Rates'!P23)</f>
        <v>0</v>
      </c>
      <c r="Q23">
        <f>kWh!Q23*('Elec Rates'!Q23-'CS Rates'!Q23)</f>
        <v>0</v>
      </c>
      <c r="R23">
        <f>kWh!R23*('Elec Rates'!R23-'CS Rates'!R23)</f>
        <v>0</v>
      </c>
      <c r="S23">
        <f>kWh!S23*('Elec Rates'!S23-'CS Rates'!S23)</f>
        <v>0</v>
      </c>
      <c r="T23">
        <f>kWh!T23*('Elec Rates'!T23-'CS Rates'!T23)</f>
        <v>0</v>
      </c>
      <c r="U23">
        <f>kWh!U23*('Elec Rates'!U23-'CS Rates'!U23)</f>
        <v>0</v>
      </c>
      <c r="V23">
        <f>kWh!V23*('Elec Rates'!V23-'CS Rates'!V23)</f>
        <v>0</v>
      </c>
      <c r="W23">
        <f>kWh!W23*('Elec Rates'!W23-'CS Rates'!W23)</f>
        <v>0</v>
      </c>
      <c r="X23">
        <f>kWh!X23*('Elec Rates'!X23-'CS Rates'!X23)</f>
        <v>0</v>
      </c>
      <c r="Y23">
        <f>kWh!Y23*('Elec Rates'!Y23-'CS Rates'!Y23)</f>
        <v>0</v>
      </c>
      <c r="Z23">
        <f>kWh!Z23*('Elec Rates'!Z23-'CS Rates'!Z23)</f>
        <v>0</v>
      </c>
      <c r="AA23">
        <f>kWh!AA23*('Elec Rates'!AA23-'CS Rates'!AA23)</f>
        <v>0</v>
      </c>
      <c r="AB23">
        <f>kWh!AB23*('Elec Rates'!AB23-'CS Rates'!AB23)</f>
        <v>0</v>
      </c>
      <c r="AC23">
        <f>kWh!AC23*('Elec Rates'!AC23-'CS Rates'!AC23)</f>
        <v>0</v>
      </c>
      <c r="AD23">
        <f>kWh!AD23*('Elec Rates'!AD23-'CS Rates'!AD23)</f>
        <v>0</v>
      </c>
      <c r="AE23">
        <f>kWh!AE23*('Elec Rates'!AE23-'CS Rates'!AE23)</f>
        <v>0</v>
      </c>
      <c r="AF23">
        <f>kWh!AF23*('Elec Rates'!AF23-'CS Rates'!AF23)</f>
        <v>0</v>
      </c>
      <c r="AG23">
        <f>kWh!AG23*('Elec Rates'!AG23-'CS Rates'!AG23)</f>
        <v>0</v>
      </c>
      <c r="AH23">
        <f>kWh!AH23*('Elec Rates'!AH23-'CS Rates'!AH23)</f>
        <v>0</v>
      </c>
      <c r="AI23">
        <f>kWh!AI23*('Elec Rates'!AI23-'CS Rates'!AI23)</f>
        <v>0</v>
      </c>
      <c r="AJ23">
        <f>kWh!AJ23*('Elec Rates'!AJ23-'CS Rates'!AJ23)</f>
        <v>0</v>
      </c>
      <c r="AK23">
        <f>kWh!AK23*('Elec Rates'!AK23-'CS Rates'!AK23)</f>
        <v>0</v>
      </c>
      <c r="AL23">
        <f>kWh!AL23*('Elec Rates'!AL23-'CS Rates'!AL23)</f>
        <v>0</v>
      </c>
      <c r="AM23">
        <f>kWh!AM23*('Elec Rates'!AM23-'CS Rates'!AM23)</f>
        <v>0</v>
      </c>
      <c r="AN23">
        <f>kWh!AN23*('Elec Rates'!AN23-'CS Rates'!AN23)</f>
        <v>0</v>
      </c>
      <c r="AO23">
        <f>kWh!AO23*('Elec Rates'!AO23-'CS Rates'!AO23)</f>
        <v>0</v>
      </c>
      <c r="AP23">
        <f>kWh!AP23*('Elec Rates'!AP23-'CS Rates'!AP23)</f>
        <v>0</v>
      </c>
      <c r="AQ23">
        <f>SUM(B23:AP23)</f>
        <v>1346.2833</v>
      </c>
    </row>
    <row r="24">
      <c r="A24">
        <v>44927</v>
      </c>
      <c r="B24">
        <f>kWh!B24*('Elec Rates'!B24-'CS Rates'!B24)</f>
        <v>125.57753999999998</v>
      </c>
      <c r="C24">
        <f>kWh!C24*('Elec Rates'!C24-'CS Rates'!C24)</f>
        <v>459.6737200000001</v>
      </c>
      <c r="D24">
        <f>kWh!D24*('Elec Rates'!D24-'CS Rates'!D24)</f>
        <v>104.18079999999998</v>
      </c>
      <c r="E24">
        <f>kWh!E24*('Elec Rates'!E24-'CS Rates'!E24)</f>
        <v>132.33191000000002</v>
      </c>
      <c r="F24">
        <f>kWh!F24*('Elec Rates'!F24-'CS Rates'!F24)</f>
        <v>215.38782000000003</v>
      </c>
      <c r="G24">
        <f>kWh!G24*('Elec Rates'!G24-'CS Rates'!G24)</f>
        <v>34.57885000000001</v>
      </c>
      <c r="H24">
        <f>kWh!H24*('Elec Rates'!H24-'CS Rates'!H24)</f>
        <v>634.8079999999999</v>
      </c>
      <c r="I24">
        <f>kWh!I24*('Elec Rates'!I24-'CS Rates'!I24)</f>
        <v>0</v>
      </c>
      <c r="J24">
        <f>kWh!J24*('Elec Rates'!J24-'CS Rates'!J24)</f>
        <v>0</v>
      </c>
      <c r="K24">
        <f>kWh!K24*('Elec Rates'!K24-'CS Rates'!K24)</f>
        <v>0</v>
      </c>
      <c r="L24">
        <f>kWh!L24*('Elec Rates'!L24-'CS Rates'!L24)</f>
        <v>0</v>
      </c>
      <c r="M24">
        <f>kWh!M24*('Elec Rates'!M24-'CS Rates'!M24)</f>
        <v>0</v>
      </c>
      <c r="N24">
        <f>kWh!N24*('Elec Rates'!N24-'CS Rates'!N24)</f>
        <v>0</v>
      </c>
      <c r="O24">
        <f>kWh!O24*('Elec Rates'!O24-'CS Rates'!O24)</f>
        <v>0</v>
      </c>
      <c r="P24">
        <f>kWh!P24*('Elec Rates'!P24-'CS Rates'!P24)</f>
        <v>0</v>
      </c>
      <c r="Q24">
        <f>kWh!Q24*('Elec Rates'!Q24-'CS Rates'!Q24)</f>
        <v>0</v>
      </c>
      <c r="R24">
        <f>kWh!R24*('Elec Rates'!R24-'CS Rates'!R24)</f>
        <v>0</v>
      </c>
      <c r="S24">
        <f>kWh!S24*('Elec Rates'!S24-'CS Rates'!S24)</f>
        <v>0</v>
      </c>
      <c r="T24">
        <f>kWh!T24*('Elec Rates'!T24-'CS Rates'!T24)</f>
        <v>0</v>
      </c>
      <c r="U24">
        <f>kWh!U24*('Elec Rates'!U24-'CS Rates'!U24)</f>
        <v>0</v>
      </c>
      <c r="V24">
        <f>kWh!V24*('Elec Rates'!V24-'CS Rates'!V24)</f>
        <v>0</v>
      </c>
      <c r="W24">
        <f>kWh!W24*('Elec Rates'!W24-'CS Rates'!W24)</f>
        <v>0</v>
      </c>
      <c r="X24">
        <f>kWh!X24*('Elec Rates'!X24-'CS Rates'!X24)</f>
        <v>0</v>
      </c>
      <c r="Y24">
        <f>kWh!Y24*('Elec Rates'!Y24-'CS Rates'!Y24)</f>
        <v>0</v>
      </c>
      <c r="Z24">
        <f>kWh!Z24*('Elec Rates'!Z24-'CS Rates'!Z24)</f>
        <v>0</v>
      </c>
      <c r="AA24">
        <f>kWh!AA24*('Elec Rates'!AA24-'CS Rates'!AA24)</f>
        <v>0</v>
      </c>
      <c r="AB24">
        <f>kWh!AB24*('Elec Rates'!AB24-'CS Rates'!AB24)</f>
        <v>0</v>
      </c>
      <c r="AC24">
        <f>kWh!AC24*('Elec Rates'!AC24-'CS Rates'!AC24)</f>
        <v>0</v>
      </c>
      <c r="AD24">
        <f>kWh!AD24*('Elec Rates'!AD24-'CS Rates'!AD24)</f>
        <v>0</v>
      </c>
      <c r="AE24">
        <f>kWh!AE24*('Elec Rates'!AE24-'CS Rates'!AE24)</f>
        <v>0</v>
      </c>
      <c r="AF24">
        <f>kWh!AF24*('Elec Rates'!AF24-'CS Rates'!AF24)</f>
        <v>0</v>
      </c>
      <c r="AG24">
        <f>kWh!AG24*('Elec Rates'!AG24-'CS Rates'!AG24)</f>
        <v>0</v>
      </c>
      <c r="AH24">
        <f>kWh!AH24*('Elec Rates'!AH24-'CS Rates'!AH24)</f>
        <v>0</v>
      </c>
      <c r="AI24">
        <f>kWh!AI24*('Elec Rates'!AI24-'CS Rates'!AI24)</f>
        <v>0</v>
      </c>
      <c r="AJ24">
        <f>kWh!AJ24*('Elec Rates'!AJ24-'CS Rates'!AJ24)</f>
        <v>0</v>
      </c>
      <c r="AK24">
        <f>kWh!AK24*('Elec Rates'!AK24-'CS Rates'!AK24)</f>
        <v>0</v>
      </c>
      <c r="AL24">
        <f>kWh!AL24*('Elec Rates'!AL24-'CS Rates'!AL24)</f>
        <v>0</v>
      </c>
      <c r="AM24">
        <f>kWh!AM24*('Elec Rates'!AM24-'CS Rates'!AM24)</f>
        <v>0</v>
      </c>
      <c r="AN24">
        <f>kWh!AN24*('Elec Rates'!AN24-'CS Rates'!AN24)</f>
        <v>0</v>
      </c>
      <c r="AO24">
        <f>kWh!AO24*('Elec Rates'!AO24-'CS Rates'!AO24)</f>
        <v>0</v>
      </c>
      <c r="AP24">
        <f>kWh!AP24*('Elec Rates'!AP24-'CS Rates'!AP24)</f>
        <v>0</v>
      </c>
      <c r="AQ24">
        <f>SUM(B24:AP24)</f>
        <v>1706.5386400000002</v>
      </c>
    </row>
    <row r="25">
      <c r="A25">
        <v>44958</v>
      </c>
      <c r="B25">
        <f>kWh!B25*('Elec Rates'!B25-'CS Rates'!B25)</f>
        <v>169.5267</v>
      </c>
      <c r="C25">
        <f>kWh!C25*('Elec Rates'!C25-'CS Rates'!C25)</f>
        <v>585.8678</v>
      </c>
      <c r="D25">
        <f>kWh!D25*('Elec Rates'!D25-'CS Rates'!D25)</f>
        <v>169.9002</v>
      </c>
      <c r="E25">
        <f>kWh!E25*('Elec Rates'!E25-'CS Rates'!E25)</f>
        <v>121.78800000000001</v>
      </c>
      <c r="F25">
        <f>kWh!F25*('Elec Rates'!F25-'CS Rates'!F25)</f>
        <v>272.37629999999996</v>
      </c>
      <c r="G25">
        <f>kWh!G25*('Elec Rates'!G25-'CS Rates'!G25)</f>
        <v>39.85670000000001</v>
      </c>
      <c r="H25">
        <f>kWh!H25*('Elec Rates'!H25-'CS Rates'!H25)</f>
        <v>665.8379999999999</v>
      </c>
      <c r="I25">
        <f>kWh!I25*('Elec Rates'!I25-'CS Rates'!I25)</f>
        <v>0</v>
      </c>
      <c r="J25">
        <f>kWh!J25*('Elec Rates'!J25-'CS Rates'!J25)</f>
        <v>0</v>
      </c>
      <c r="K25">
        <f>kWh!K25*('Elec Rates'!K25-'CS Rates'!K25)</f>
        <v>0</v>
      </c>
      <c r="L25">
        <f>kWh!L25*('Elec Rates'!L25-'CS Rates'!L25)</f>
        <v>0</v>
      </c>
      <c r="M25">
        <f>kWh!M25*('Elec Rates'!M25-'CS Rates'!M25)</f>
        <v>0</v>
      </c>
      <c r="N25">
        <f>kWh!N25*('Elec Rates'!N25-'CS Rates'!N25)</f>
        <v>0</v>
      </c>
      <c r="O25">
        <f>kWh!O25*('Elec Rates'!O25-'CS Rates'!O25)</f>
        <v>0</v>
      </c>
      <c r="P25">
        <f>kWh!P25*('Elec Rates'!P25-'CS Rates'!P25)</f>
        <v>0</v>
      </c>
      <c r="Q25">
        <f>kWh!Q25*('Elec Rates'!Q25-'CS Rates'!Q25)</f>
        <v>0</v>
      </c>
      <c r="R25">
        <f>kWh!R25*('Elec Rates'!R25-'CS Rates'!R25)</f>
        <v>0</v>
      </c>
      <c r="S25">
        <f>kWh!S25*('Elec Rates'!S25-'CS Rates'!S25)</f>
        <v>0</v>
      </c>
      <c r="T25">
        <f>kWh!T25*('Elec Rates'!T25-'CS Rates'!T25)</f>
        <v>0</v>
      </c>
      <c r="U25">
        <f>kWh!U25*('Elec Rates'!U25-'CS Rates'!U25)</f>
        <v>0</v>
      </c>
      <c r="V25">
        <f>kWh!V25*('Elec Rates'!V25-'CS Rates'!V25)</f>
        <v>0</v>
      </c>
      <c r="W25">
        <f>kWh!W25*('Elec Rates'!W25-'CS Rates'!W25)</f>
        <v>0</v>
      </c>
      <c r="X25">
        <f>kWh!X25*('Elec Rates'!X25-'CS Rates'!X25)</f>
        <v>0</v>
      </c>
      <c r="Y25">
        <f>kWh!Y25*('Elec Rates'!Y25-'CS Rates'!Y25)</f>
        <v>0</v>
      </c>
      <c r="Z25">
        <f>kWh!Z25*('Elec Rates'!Z25-'CS Rates'!Z25)</f>
        <v>0</v>
      </c>
      <c r="AA25">
        <f>kWh!AA25*('Elec Rates'!AA25-'CS Rates'!AA25)</f>
        <v>0</v>
      </c>
      <c r="AB25">
        <f>kWh!AB25*('Elec Rates'!AB25-'CS Rates'!AB25)</f>
        <v>0</v>
      </c>
      <c r="AC25">
        <f>kWh!AC25*('Elec Rates'!AC25-'CS Rates'!AC25)</f>
        <v>0</v>
      </c>
      <c r="AD25">
        <f>kWh!AD25*('Elec Rates'!AD25-'CS Rates'!AD25)</f>
        <v>0</v>
      </c>
      <c r="AE25">
        <f>kWh!AE25*('Elec Rates'!AE25-'CS Rates'!AE25)</f>
        <v>0</v>
      </c>
      <c r="AF25">
        <f>kWh!AF25*('Elec Rates'!AF25-'CS Rates'!AF25)</f>
        <v>0</v>
      </c>
      <c r="AG25">
        <f>kWh!AG25*('Elec Rates'!AG25-'CS Rates'!AG25)</f>
        <v>0</v>
      </c>
      <c r="AH25">
        <f>kWh!AH25*('Elec Rates'!AH25-'CS Rates'!AH25)</f>
        <v>0</v>
      </c>
      <c r="AI25">
        <f>kWh!AI25*('Elec Rates'!AI25-'CS Rates'!AI25)</f>
        <v>0</v>
      </c>
      <c r="AJ25">
        <f>kWh!AJ25*('Elec Rates'!AJ25-'CS Rates'!AJ25)</f>
        <v>0</v>
      </c>
      <c r="AK25">
        <f>kWh!AK25*('Elec Rates'!AK25-'CS Rates'!AK25)</f>
        <v>0</v>
      </c>
      <c r="AL25">
        <f>kWh!AL25*('Elec Rates'!AL25-'CS Rates'!AL25)</f>
        <v>0</v>
      </c>
      <c r="AM25">
        <f>kWh!AM25*('Elec Rates'!AM25-'CS Rates'!AM25)</f>
        <v>0</v>
      </c>
      <c r="AN25">
        <f>kWh!AN25*('Elec Rates'!AN25-'CS Rates'!AN25)</f>
        <v>0</v>
      </c>
      <c r="AO25">
        <f>kWh!AO25*('Elec Rates'!AO25-'CS Rates'!AO25)</f>
        <v>0</v>
      </c>
      <c r="AP25">
        <f>kWh!AP25*('Elec Rates'!AP25-'CS Rates'!AP25)</f>
        <v>0</v>
      </c>
      <c r="AQ25">
        <f>SUM(B25:AP25)</f>
        <v>2025.1536999999998</v>
      </c>
    </row>
    <row r="26">
      <c r="A26">
        <v>44986</v>
      </c>
      <c r="B26">
        <f>kWh!B26*('Elec Rates'!B26-'CS Rates'!B26)</f>
        <v>227.2077</v>
      </c>
      <c r="C26">
        <f>kWh!C26*('Elec Rates'!C26-'CS Rates'!C26)</f>
        <v>776.5767000000002</v>
      </c>
      <c r="D26">
        <f>kWh!D26*('Elec Rates'!D26-'CS Rates'!D26)</f>
        <v>270.7497</v>
      </c>
      <c r="E26">
        <f>kWh!E26*('Elec Rates'!E26-'CS Rates'!E26)</f>
        <v>186.0138</v>
      </c>
      <c r="F26">
        <f>kWh!F26*('Elec Rates'!F26-'CS Rates'!F26)</f>
        <v>440.51489999999995</v>
      </c>
      <c r="G26">
        <f>kWh!G26*('Elec Rates'!G26-'CS Rates'!G26)</f>
        <v>63.92620000000002</v>
      </c>
      <c r="H26">
        <f>kWh!H26*('Elec Rates'!H26-'CS Rates'!H26)</f>
        <v>870.0708000000001</v>
      </c>
      <c r="I26">
        <f>kWh!I26*('Elec Rates'!I26-'CS Rates'!I26)</f>
        <v>0</v>
      </c>
      <c r="J26">
        <f>kWh!J26*('Elec Rates'!J26-'CS Rates'!J26)</f>
        <v>0</v>
      </c>
      <c r="K26">
        <f>kWh!K26*('Elec Rates'!K26-'CS Rates'!K26)</f>
        <v>0</v>
      </c>
      <c r="L26">
        <f>kWh!L26*('Elec Rates'!L26-'CS Rates'!L26)</f>
        <v>0</v>
      </c>
      <c r="M26">
        <f>kWh!M26*('Elec Rates'!M26-'CS Rates'!M26)</f>
        <v>0</v>
      </c>
      <c r="N26">
        <f>kWh!N26*('Elec Rates'!N26-'CS Rates'!N26)</f>
        <v>0</v>
      </c>
      <c r="O26">
        <f>kWh!O26*('Elec Rates'!O26-'CS Rates'!O26)</f>
        <v>0</v>
      </c>
      <c r="P26">
        <f>kWh!P26*('Elec Rates'!P26-'CS Rates'!P26)</f>
        <v>0</v>
      </c>
      <c r="Q26">
        <f>kWh!Q26*('Elec Rates'!Q26-'CS Rates'!Q26)</f>
        <v>0</v>
      </c>
      <c r="R26">
        <f>kWh!R26*('Elec Rates'!R26-'CS Rates'!R26)</f>
        <v>0</v>
      </c>
      <c r="S26">
        <f>kWh!S26*('Elec Rates'!S26-'CS Rates'!S26)</f>
        <v>0</v>
      </c>
      <c r="T26">
        <f>kWh!T26*('Elec Rates'!T26-'CS Rates'!T26)</f>
        <v>0</v>
      </c>
      <c r="U26">
        <f>kWh!U26*('Elec Rates'!U26-'CS Rates'!U26)</f>
        <v>0</v>
      </c>
      <c r="V26">
        <f>kWh!V26*('Elec Rates'!V26-'CS Rates'!V26)</f>
        <v>0</v>
      </c>
      <c r="W26">
        <f>kWh!W26*('Elec Rates'!W26-'CS Rates'!W26)</f>
        <v>0</v>
      </c>
      <c r="X26">
        <f>kWh!X26*('Elec Rates'!X26-'CS Rates'!X26)</f>
        <v>0</v>
      </c>
      <c r="Y26">
        <f>kWh!Y26*('Elec Rates'!Y26-'CS Rates'!Y26)</f>
        <v>0</v>
      </c>
      <c r="Z26">
        <f>kWh!Z26*('Elec Rates'!Z26-'CS Rates'!Z26)</f>
        <v>0</v>
      </c>
      <c r="AA26">
        <f>kWh!AA26*('Elec Rates'!AA26-'CS Rates'!AA26)</f>
        <v>0</v>
      </c>
      <c r="AB26">
        <f>kWh!AB26*('Elec Rates'!AB26-'CS Rates'!AB26)</f>
        <v>0</v>
      </c>
      <c r="AC26">
        <f>kWh!AC26*('Elec Rates'!AC26-'CS Rates'!AC26)</f>
        <v>0</v>
      </c>
      <c r="AD26">
        <f>kWh!AD26*('Elec Rates'!AD26-'CS Rates'!AD26)</f>
        <v>0</v>
      </c>
      <c r="AE26">
        <f>kWh!AE26*('Elec Rates'!AE26-'CS Rates'!AE26)</f>
        <v>0</v>
      </c>
      <c r="AF26">
        <f>kWh!AF26*('Elec Rates'!AF26-'CS Rates'!AF26)</f>
        <v>0</v>
      </c>
      <c r="AG26">
        <f>kWh!AG26*('Elec Rates'!AG26-'CS Rates'!AG26)</f>
        <v>0</v>
      </c>
      <c r="AH26">
        <f>kWh!AH26*('Elec Rates'!AH26-'CS Rates'!AH26)</f>
        <v>0</v>
      </c>
      <c r="AI26">
        <f>kWh!AI26*('Elec Rates'!AI26-'CS Rates'!AI26)</f>
        <v>0</v>
      </c>
      <c r="AJ26">
        <f>kWh!AJ26*('Elec Rates'!AJ26-'CS Rates'!AJ26)</f>
        <v>0</v>
      </c>
      <c r="AK26">
        <f>kWh!AK26*('Elec Rates'!AK26-'CS Rates'!AK26)</f>
        <v>0</v>
      </c>
      <c r="AL26">
        <f>kWh!AL26*('Elec Rates'!AL26-'CS Rates'!AL26)</f>
        <v>0</v>
      </c>
      <c r="AM26">
        <f>kWh!AM26*('Elec Rates'!AM26-'CS Rates'!AM26)</f>
        <v>0</v>
      </c>
      <c r="AN26">
        <f>kWh!AN26*('Elec Rates'!AN26-'CS Rates'!AN26)</f>
        <v>0</v>
      </c>
      <c r="AO26">
        <f>kWh!AO26*('Elec Rates'!AO26-'CS Rates'!AO26)</f>
        <v>0</v>
      </c>
      <c r="AP26">
        <f>kWh!AP26*('Elec Rates'!AP26-'CS Rates'!AP26)</f>
        <v>0</v>
      </c>
      <c r="AQ26">
        <f>SUM(B26:AP26)</f>
        <v>2835.0598000000005</v>
      </c>
    </row>
    <row r="27">
      <c r="A27">
        <v>45017</v>
      </c>
      <c r="B27">
        <f>kWh!B27*('Elec Rates'!B27-'CS Rates'!B27)</f>
        <v>282.51550000000003</v>
      </c>
      <c r="C27">
        <f>kWh!C27*('Elec Rates'!C27-'CS Rates'!C27)</f>
        <v>477.34190000000007</v>
      </c>
      <c r="D27">
        <f>kWh!D27*('Elec Rates'!D27-'CS Rates'!D27)</f>
        <v>359.1957000000001</v>
      </c>
      <c r="E27">
        <f>kWh!E27*('Elec Rates'!E27-'CS Rates'!E27)</f>
        <v>165.88469999999998</v>
      </c>
      <c r="F27">
        <f>kWh!F27*('Elec Rates'!F27-'CS Rates'!F27)</f>
        <v>456.8993000000001</v>
      </c>
      <c r="G27">
        <f>kWh!G27*('Elec Rates'!G27-'CS Rates'!G27)</f>
        <v>73.689</v>
      </c>
      <c r="H27">
        <f>kWh!H27*('Elec Rates'!H27-'CS Rates'!H27)</f>
        <v>1000.2906000000002</v>
      </c>
      <c r="I27">
        <f>kWh!I27*('Elec Rates'!I27-'CS Rates'!I27)</f>
        <v>0</v>
      </c>
      <c r="J27">
        <f>kWh!J27*('Elec Rates'!J27-'CS Rates'!J27)</f>
        <v>0</v>
      </c>
      <c r="K27">
        <f>kWh!K27*('Elec Rates'!K27-'CS Rates'!K27)</f>
        <v>0</v>
      </c>
      <c r="L27">
        <f>kWh!L27*('Elec Rates'!L27-'CS Rates'!L27)</f>
        <v>0</v>
      </c>
      <c r="M27">
        <f>kWh!M27*('Elec Rates'!M27-'CS Rates'!M27)</f>
        <v>0</v>
      </c>
      <c r="N27">
        <f>kWh!N27*('Elec Rates'!N27-'CS Rates'!N27)</f>
        <v>0</v>
      </c>
      <c r="O27">
        <f>kWh!O27*('Elec Rates'!O27-'CS Rates'!O27)</f>
        <v>0</v>
      </c>
      <c r="P27">
        <f>kWh!P27*('Elec Rates'!P27-'CS Rates'!P27)</f>
        <v>0</v>
      </c>
      <c r="Q27">
        <f>kWh!Q27*('Elec Rates'!Q27-'CS Rates'!Q27)</f>
        <v>0</v>
      </c>
      <c r="R27">
        <f>kWh!R27*('Elec Rates'!R27-'CS Rates'!R27)</f>
        <v>0</v>
      </c>
      <c r="S27">
        <f>kWh!S27*('Elec Rates'!S27-'CS Rates'!S27)</f>
        <v>0</v>
      </c>
      <c r="T27">
        <f>kWh!T27*('Elec Rates'!T27-'CS Rates'!T27)</f>
        <v>0</v>
      </c>
      <c r="U27">
        <f>kWh!U27*('Elec Rates'!U27-'CS Rates'!U27)</f>
        <v>0</v>
      </c>
      <c r="V27">
        <f>kWh!V27*('Elec Rates'!V27-'CS Rates'!V27)</f>
        <v>0</v>
      </c>
      <c r="W27">
        <f>kWh!W27*('Elec Rates'!W27-'CS Rates'!W27)</f>
        <v>0</v>
      </c>
      <c r="X27">
        <f>kWh!X27*('Elec Rates'!X27-'CS Rates'!X27)</f>
        <v>0</v>
      </c>
      <c r="Y27">
        <f>kWh!Y27*('Elec Rates'!Y27-'CS Rates'!Y27)</f>
        <v>0</v>
      </c>
      <c r="Z27">
        <f>kWh!Z27*('Elec Rates'!Z27-'CS Rates'!Z27)</f>
        <v>0</v>
      </c>
      <c r="AA27">
        <f>kWh!AA27*('Elec Rates'!AA27-'CS Rates'!AA27)</f>
        <v>0</v>
      </c>
      <c r="AB27">
        <f>kWh!AB27*('Elec Rates'!AB27-'CS Rates'!AB27)</f>
        <v>0</v>
      </c>
      <c r="AC27">
        <f>kWh!AC27*('Elec Rates'!AC27-'CS Rates'!AC27)</f>
        <v>0</v>
      </c>
      <c r="AD27">
        <f>kWh!AD27*('Elec Rates'!AD27-'CS Rates'!AD27)</f>
        <v>0</v>
      </c>
      <c r="AE27">
        <f>kWh!AE27*('Elec Rates'!AE27-'CS Rates'!AE27)</f>
        <v>0</v>
      </c>
      <c r="AF27">
        <f>kWh!AF27*('Elec Rates'!AF27-'CS Rates'!AF27)</f>
        <v>0</v>
      </c>
      <c r="AG27">
        <f>kWh!AG27*('Elec Rates'!AG27-'CS Rates'!AG27)</f>
        <v>0</v>
      </c>
      <c r="AH27">
        <f>kWh!AH27*('Elec Rates'!AH27-'CS Rates'!AH27)</f>
        <v>0</v>
      </c>
      <c r="AI27">
        <f>kWh!AI27*('Elec Rates'!AI27-'CS Rates'!AI27)</f>
        <v>0</v>
      </c>
      <c r="AJ27">
        <f>kWh!AJ27*('Elec Rates'!AJ27-'CS Rates'!AJ27)</f>
        <v>0</v>
      </c>
      <c r="AK27">
        <f>kWh!AK27*('Elec Rates'!AK27-'CS Rates'!AK27)</f>
        <v>0</v>
      </c>
      <c r="AL27">
        <f>kWh!AL27*('Elec Rates'!AL27-'CS Rates'!AL27)</f>
        <v>0</v>
      </c>
      <c r="AM27">
        <f>kWh!AM27*('Elec Rates'!AM27-'CS Rates'!AM27)</f>
        <v>0</v>
      </c>
      <c r="AN27">
        <f>kWh!AN27*('Elec Rates'!AN27-'CS Rates'!AN27)</f>
        <v>0</v>
      </c>
      <c r="AO27">
        <f>kWh!AO27*('Elec Rates'!AO27-'CS Rates'!AO27)</f>
        <v>0</v>
      </c>
      <c r="AP27">
        <f>kWh!AP27*('Elec Rates'!AP27-'CS Rates'!AP27)</f>
        <v>0</v>
      </c>
      <c r="AQ27">
        <f>SUM(B27:AP27)</f>
        <v>2815.8167000000003</v>
      </c>
      <c r="AT27">
        <v>6720</v>
      </c>
      <c r="AU27" t="str">
        <v>per year</v>
      </c>
    </row>
    <row r="28">
      <c r="A28">
        <v>45047</v>
      </c>
      <c r="B28">
        <f>kWh!B28*('Elec Rates'!B28-'CS Rates'!B28)</f>
        <v>289.8161</v>
      </c>
      <c r="C28">
        <f>kWh!C28*('Elec Rates'!C28-'CS Rates'!C28)</f>
        <v>364.9908</v>
      </c>
      <c r="D28">
        <f>kWh!D28*('Elec Rates'!D28-'CS Rates'!D28)</f>
        <v>292.7463</v>
      </c>
      <c r="E28">
        <f>kWh!E28*('Elec Rates'!E28-'CS Rates'!E28)</f>
        <v>162.15669999999997</v>
      </c>
      <c r="F28">
        <f>kWh!F28*('Elec Rates'!F28-'CS Rates'!F28)</f>
        <v>470.13460000000003</v>
      </c>
      <c r="G28">
        <f>kWh!G28*('Elec Rates'!G28-'CS Rates'!G28)</f>
        <v>71.90320000000003</v>
      </c>
      <c r="H28">
        <f>kWh!H28*('Elec Rates'!H28-'CS Rates'!H28)</f>
        <v>1044.7786000000003</v>
      </c>
      <c r="I28">
        <f>kWh!I28*('Elec Rates'!I28-'CS Rates'!I28)</f>
        <v>0</v>
      </c>
      <c r="J28">
        <f>kWh!J28*('Elec Rates'!J28-'CS Rates'!J28)</f>
        <v>0</v>
      </c>
      <c r="K28">
        <f>kWh!K28*('Elec Rates'!K28-'CS Rates'!K28)</f>
        <v>0</v>
      </c>
      <c r="L28">
        <f>kWh!L28*('Elec Rates'!L28-'CS Rates'!L28)</f>
        <v>0</v>
      </c>
      <c r="M28">
        <f>kWh!M28*('Elec Rates'!M28-'CS Rates'!M28)</f>
        <v>0</v>
      </c>
      <c r="N28">
        <f>kWh!N28*('Elec Rates'!N28-'CS Rates'!N28)</f>
        <v>0</v>
      </c>
      <c r="O28">
        <f>kWh!O28*('Elec Rates'!O28-'CS Rates'!O28)</f>
        <v>0</v>
      </c>
      <c r="P28">
        <f>kWh!P28*('Elec Rates'!P28-'CS Rates'!P28)</f>
        <v>0</v>
      </c>
      <c r="Q28">
        <f>kWh!Q28*('Elec Rates'!Q28-'CS Rates'!Q28)</f>
        <v>0</v>
      </c>
      <c r="R28">
        <f>kWh!R28*('Elec Rates'!R28-'CS Rates'!R28)</f>
        <v>0</v>
      </c>
      <c r="S28">
        <f>kWh!S28*('Elec Rates'!S28-'CS Rates'!S28)</f>
        <v>0</v>
      </c>
      <c r="T28">
        <f>kWh!T28*('Elec Rates'!T28-'CS Rates'!T28)</f>
        <v>0</v>
      </c>
      <c r="U28">
        <f>kWh!U28*('Elec Rates'!U28-'CS Rates'!U28)</f>
        <v>0</v>
      </c>
      <c r="V28">
        <f>kWh!V28*('Elec Rates'!V28-'CS Rates'!V28)</f>
        <v>0</v>
      </c>
      <c r="W28">
        <f>kWh!W28*('Elec Rates'!W28-'CS Rates'!W28)</f>
        <v>0</v>
      </c>
      <c r="X28">
        <f>kWh!X28*('Elec Rates'!X28-'CS Rates'!X28)</f>
        <v>0</v>
      </c>
      <c r="Y28">
        <f>kWh!Y28*('Elec Rates'!Y28-'CS Rates'!Y28)</f>
        <v>0</v>
      </c>
      <c r="Z28">
        <f>kWh!Z28*('Elec Rates'!Z28-'CS Rates'!Z28)</f>
        <v>0</v>
      </c>
      <c r="AA28">
        <f>kWh!AA28*('Elec Rates'!AA28-'CS Rates'!AA28)</f>
        <v>0</v>
      </c>
      <c r="AB28">
        <f>kWh!AB28*('Elec Rates'!AB28-'CS Rates'!AB28)</f>
        <v>0</v>
      </c>
      <c r="AC28">
        <f>kWh!AC28*('Elec Rates'!AC28-'CS Rates'!AC28)</f>
        <v>0</v>
      </c>
      <c r="AD28">
        <f>kWh!AD28*('Elec Rates'!AD28-'CS Rates'!AD28)</f>
        <v>0</v>
      </c>
      <c r="AE28">
        <f>kWh!AE28*('Elec Rates'!AE28-'CS Rates'!AE28)</f>
        <v>0</v>
      </c>
      <c r="AF28">
        <f>kWh!AF28*('Elec Rates'!AF28-'CS Rates'!AF28)</f>
        <v>0</v>
      </c>
      <c r="AG28">
        <f>kWh!AG28*('Elec Rates'!AG28-'CS Rates'!AG28)</f>
        <v>0</v>
      </c>
      <c r="AH28">
        <f>kWh!AH28*('Elec Rates'!AH28-'CS Rates'!AH28)</f>
        <v>0</v>
      </c>
      <c r="AI28">
        <f>kWh!AI28*('Elec Rates'!AI28-'CS Rates'!AI28)</f>
        <v>0</v>
      </c>
      <c r="AJ28">
        <f>kWh!AJ28*('Elec Rates'!AJ28-'CS Rates'!AJ28)</f>
        <v>0</v>
      </c>
      <c r="AK28">
        <f>kWh!AK28*('Elec Rates'!AK28-'CS Rates'!AK28)</f>
        <v>0</v>
      </c>
      <c r="AL28">
        <f>kWh!AL28*('Elec Rates'!AL28-'CS Rates'!AL28)</f>
        <v>0</v>
      </c>
      <c r="AM28">
        <f>kWh!AM28*('Elec Rates'!AM28-'CS Rates'!AM28)</f>
        <v>0</v>
      </c>
      <c r="AN28">
        <f>kWh!AN28*('Elec Rates'!AN28-'CS Rates'!AN28)</f>
        <v>0</v>
      </c>
      <c r="AO28">
        <f>kWh!AO28*('Elec Rates'!AO28-'CS Rates'!AO28)</f>
        <v>0</v>
      </c>
      <c r="AP28">
        <f>kWh!AP28*('Elec Rates'!AP28-'CS Rates'!AP28)</f>
        <v>0</v>
      </c>
      <c r="AQ28">
        <f>SUM(B28:AP28)</f>
        <v>2696.5263000000004</v>
      </c>
      <c r="AT28">
        <v>17</v>
      </c>
      <c r="AU28" t="str">
        <v>years</v>
      </c>
    </row>
    <row r="29">
      <c r="A29">
        <v>45078</v>
      </c>
      <c r="B29">
        <f>kWh!B29*('Elec Rates'!B29-'CS Rates'!B29)</f>
        <v>919.9872</v>
      </c>
      <c r="C29">
        <f>kWh!C29*('Elec Rates'!C29-'CS Rates'!C29)</f>
        <v>405.0319</v>
      </c>
      <c r="D29">
        <f>kWh!D29*('Elec Rates'!D29-'CS Rates'!D29)</f>
        <v>1099.7921999999999</v>
      </c>
      <c r="E29">
        <f>kWh!E29*('Elec Rates'!E29-'CS Rates'!E29)</f>
        <v>769.3374000000002</v>
      </c>
      <c r="F29">
        <f>kWh!F29*('Elec Rates'!F29-'CS Rates'!F29)</f>
        <v>421.8681</v>
      </c>
      <c r="G29">
        <f>kWh!G29*('Elec Rates'!G29-'CS Rates'!G29)</f>
        <v>250.53600000000003</v>
      </c>
      <c r="H29">
        <f>kWh!H29*('Elec Rates'!H29-'CS Rates'!H29)</f>
        <v>989.4423000000002</v>
      </c>
      <c r="I29">
        <f>kWh!I29*('Elec Rates'!I29-'CS Rates'!I29)</f>
        <v>0</v>
      </c>
      <c r="J29">
        <f>kWh!J29*('Elec Rates'!J29-'CS Rates'!J29)</f>
        <v>0</v>
      </c>
      <c r="K29">
        <f>kWh!K29*('Elec Rates'!K29-'CS Rates'!K29)</f>
        <v>0</v>
      </c>
      <c r="L29">
        <f>kWh!L29*('Elec Rates'!L29-'CS Rates'!L29)</f>
        <v>0</v>
      </c>
      <c r="M29">
        <f>kWh!M29*('Elec Rates'!M29-'CS Rates'!M29)</f>
        <v>0</v>
      </c>
      <c r="N29">
        <f>kWh!N29*('Elec Rates'!N29-'CS Rates'!N29)</f>
        <v>0</v>
      </c>
      <c r="O29">
        <f>kWh!O29*('Elec Rates'!O29-'CS Rates'!O29)</f>
        <v>0</v>
      </c>
      <c r="P29">
        <f>kWh!P29*('Elec Rates'!P29-'CS Rates'!P29)</f>
        <v>0</v>
      </c>
      <c r="Q29">
        <f>kWh!Q29*('Elec Rates'!Q29-'CS Rates'!Q29)</f>
        <v>0</v>
      </c>
      <c r="R29">
        <f>kWh!R29*('Elec Rates'!R29-'CS Rates'!R29)</f>
        <v>0</v>
      </c>
      <c r="S29">
        <f>kWh!S29*('Elec Rates'!S29-'CS Rates'!S29)</f>
        <v>0</v>
      </c>
      <c r="T29">
        <f>kWh!T29*('Elec Rates'!T29-'CS Rates'!T29)</f>
        <v>0</v>
      </c>
      <c r="U29">
        <f>kWh!U29*('Elec Rates'!U29-'CS Rates'!U29)</f>
        <v>0</v>
      </c>
      <c r="V29">
        <f>kWh!V29*('Elec Rates'!V29-'CS Rates'!V29)</f>
        <v>0</v>
      </c>
      <c r="W29">
        <f>kWh!W29*('Elec Rates'!W29-'CS Rates'!W29)</f>
        <v>0</v>
      </c>
      <c r="X29">
        <f>kWh!X29*('Elec Rates'!X29-'CS Rates'!X29)</f>
        <v>0</v>
      </c>
      <c r="Y29">
        <f>kWh!Y29*('Elec Rates'!Y29-'CS Rates'!Y29)</f>
        <v>0</v>
      </c>
      <c r="Z29">
        <f>kWh!Z29*('Elec Rates'!Z29-'CS Rates'!Z29)</f>
        <v>0</v>
      </c>
      <c r="AA29">
        <f>kWh!AA29*('Elec Rates'!AA29-'CS Rates'!AA29)</f>
        <v>0</v>
      </c>
      <c r="AB29">
        <f>kWh!AB29*('Elec Rates'!AB29-'CS Rates'!AB29)</f>
        <v>0</v>
      </c>
      <c r="AC29">
        <f>kWh!AC29*('Elec Rates'!AC29-'CS Rates'!AC29)</f>
        <v>0</v>
      </c>
      <c r="AD29">
        <f>kWh!AD29*('Elec Rates'!AD29-'CS Rates'!AD29)</f>
        <v>0</v>
      </c>
      <c r="AE29">
        <f>kWh!AE29*('Elec Rates'!AE29-'CS Rates'!AE29)</f>
        <v>0</v>
      </c>
      <c r="AF29">
        <f>kWh!AF29*('Elec Rates'!AF29-'CS Rates'!AF29)</f>
        <v>0</v>
      </c>
      <c r="AG29">
        <f>kWh!AG29*('Elec Rates'!AG29-'CS Rates'!AG29)</f>
        <v>0</v>
      </c>
      <c r="AH29">
        <f>kWh!AH29*('Elec Rates'!AH29-'CS Rates'!AH29)</f>
        <v>0</v>
      </c>
      <c r="AI29">
        <f>kWh!AI29*('Elec Rates'!AI29-'CS Rates'!AI29)</f>
        <v>0</v>
      </c>
      <c r="AJ29">
        <f>kWh!AJ29*('Elec Rates'!AJ29-'CS Rates'!AJ29)</f>
        <v>0</v>
      </c>
      <c r="AK29">
        <f>kWh!AK29*('Elec Rates'!AK29-'CS Rates'!AK29)</f>
        <v>0</v>
      </c>
      <c r="AL29">
        <f>kWh!AL29*('Elec Rates'!AL29-'CS Rates'!AL29)</f>
        <v>0</v>
      </c>
      <c r="AM29">
        <f>kWh!AM29*('Elec Rates'!AM29-'CS Rates'!AM29)</f>
        <v>0</v>
      </c>
      <c r="AN29">
        <f>kWh!AN29*('Elec Rates'!AN29-'CS Rates'!AN29)</f>
        <v>0</v>
      </c>
      <c r="AO29">
        <f>kWh!AO29*('Elec Rates'!AO29-'CS Rates'!AO29)</f>
        <v>0</v>
      </c>
      <c r="AP29">
        <f>kWh!AP29*('Elec Rates'!AP29-'CS Rates'!AP29)</f>
        <v>0</v>
      </c>
      <c r="AQ29">
        <f>SUM(B29:AP29)</f>
        <v>4855.9951</v>
      </c>
      <c r="AT29">
        <f>AT27*AT28</f>
        <v>114240</v>
      </c>
    </row>
    <row r="30">
      <c r="A30">
        <v>45108</v>
      </c>
      <c r="B30">
        <f>kWh!B30*('Elec Rates'!B30-'CS Rates'!B30)</f>
        <v>945.7538999999999</v>
      </c>
      <c r="C30">
        <f>kWh!C30*('Elec Rates'!C30-'CS Rates'!C30)</f>
        <v>495.40819999999997</v>
      </c>
      <c r="D30">
        <f>kWh!D30*('Elec Rates'!D30-'CS Rates'!D30)</f>
        <v>1381.2606</v>
      </c>
      <c r="E30">
        <f>kWh!E30*('Elec Rates'!E30-'CS Rates'!E30)</f>
        <v>1075.9567000000002</v>
      </c>
      <c r="F30">
        <f>kWh!F30*('Elec Rates'!F30-'CS Rates'!F30)</f>
        <v>646.7406000000001</v>
      </c>
      <c r="G30">
        <f>kWh!G30*('Elec Rates'!G30-'CS Rates'!G30)</f>
        <v>307.8171</v>
      </c>
      <c r="H30">
        <f>kWh!H30*('Elec Rates'!H30-'CS Rates'!H30)</f>
        <v>1158.0107000000003</v>
      </c>
      <c r="I30">
        <f>kWh!I30*('Elec Rates'!I30-'CS Rates'!I30)</f>
        <v>0</v>
      </c>
      <c r="J30">
        <f>kWh!J30*('Elec Rates'!J30-'CS Rates'!J30)</f>
        <v>0</v>
      </c>
      <c r="K30">
        <f>kWh!K30*('Elec Rates'!K30-'CS Rates'!K30)</f>
        <v>0</v>
      </c>
      <c r="L30">
        <f>kWh!L30*('Elec Rates'!L30-'CS Rates'!L30)</f>
        <v>0</v>
      </c>
      <c r="M30">
        <f>kWh!M30*('Elec Rates'!M30-'CS Rates'!M30)</f>
        <v>0</v>
      </c>
      <c r="N30">
        <f>kWh!N30*('Elec Rates'!N30-'CS Rates'!N30)</f>
        <v>0</v>
      </c>
      <c r="O30">
        <f>kWh!O30*('Elec Rates'!O30-'CS Rates'!O30)</f>
        <v>0</v>
      </c>
      <c r="P30">
        <f>kWh!P30*('Elec Rates'!P30-'CS Rates'!P30)</f>
        <v>0</v>
      </c>
      <c r="Q30">
        <f>kWh!Q30*('Elec Rates'!Q30-'CS Rates'!Q30)</f>
        <v>0</v>
      </c>
      <c r="R30">
        <f>kWh!R30*('Elec Rates'!R30-'CS Rates'!R30)</f>
        <v>0</v>
      </c>
      <c r="S30">
        <f>kWh!S30*('Elec Rates'!S30-'CS Rates'!S30)</f>
        <v>0</v>
      </c>
      <c r="T30">
        <f>kWh!T30*('Elec Rates'!T30-'CS Rates'!T30)</f>
        <v>0</v>
      </c>
      <c r="U30">
        <f>kWh!U30*('Elec Rates'!U30-'CS Rates'!U30)</f>
        <v>0</v>
      </c>
      <c r="V30">
        <f>kWh!V30*('Elec Rates'!V30-'CS Rates'!V30)</f>
        <v>0</v>
      </c>
      <c r="W30">
        <f>kWh!W30*('Elec Rates'!W30-'CS Rates'!W30)</f>
        <v>0</v>
      </c>
      <c r="X30">
        <f>kWh!X30*('Elec Rates'!X30-'CS Rates'!X30)</f>
        <v>0</v>
      </c>
      <c r="Y30">
        <f>kWh!Y30*('Elec Rates'!Y30-'CS Rates'!Y30)</f>
        <v>0</v>
      </c>
      <c r="Z30">
        <f>kWh!Z30*('Elec Rates'!Z30-'CS Rates'!Z30)</f>
        <v>0</v>
      </c>
      <c r="AA30">
        <f>kWh!AA30*('Elec Rates'!AA30-'CS Rates'!AA30)</f>
        <v>0</v>
      </c>
      <c r="AB30">
        <f>kWh!AB30*('Elec Rates'!AB30-'CS Rates'!AB30)</f>
        <v>0</v>
      </c>
      <c r="AC30">
        <f>kWh!AC30*('Elec Rates'!AC30-'CS Rates'!AC30)</f>
        <v>0</v>
      </c>
      <c r="AD30">
        <f>kWh!AD30*('Elec Rates'!AD30-'CS Rates'!AD30)</f>
        <v>0</v>
      </c>
      <c r="AE30">
        <f>kWh!AE30*('Elec Rates'!AE30-'CS Rates'!AE30)</f>
        <v>0</v>
      </c>
      <c r="AF30">
        <f>kWh!AF30*('Elec Rates'!AF30-'CS Rates'!AF30)</f>
        <v>0</v>
      </c>
      <c r="AG30">
        <f>kWh!AG30*('Elec Rates'!AG30-'CS Rates'!AG30)</f>
        <v>0</v>
      </c>
      <c r="AH30">
        <f>kWh!AH30*('Elec Rates'!AH30-'CS Rates'!AH30)</f>
        <v>0</v>
      </c>
      <c r="AI30">
        <f>kWh!AI30*('Elec Rates'!AI30-'CS Rates'!AI30)</f>
        <v>0</v>
      </c>
      <c r="AJ30">
        <f>kWh!AJ30*('Elec Rates'!AJ30-'CS Rates'!AJ30)</f>
        <v>0</v>
      </c>
      <c r="AK30">
        <f>kWh!AK30*('Elec Rates'!AK30-'CS Rates'!AK30)</f>
        <v>0</v>
      </c>
      <c r="AL30">
        <f>kWh!AL30*('Elec Rates'!AL30-'CS Rates'!AL30)</f>
        <v>0</v>
      </c>
      <c r="AM30">
        <f>kWh!AM30*('Elec Rates'!AM30-'CS Rates'!AM30)</f>
        <v>0</v>
      </c>
      <c r="AN30">
        <f>kWh!AN30*('Elec Rates'!AN30-'CS Rates'!AN30)</f>
        <v>0</v>
      </c>
      <c r="AO30">
        <f>kWh!AO30*('Elec Rates'!AO30-'CS Rates'!AO30)</f>
        <v>0</v>
      </c>
      <c r="AP30">
        <f>kWh!AP30*('Elec Rates'!AP30-'CS Rates'!AP30)</f>
        <v>0</v>
      </c>
      <c r="AQ30">
        <f>SUM(B30:AP30)</f>
        <v>6010.947800000002</v>
      </c>
    </row>
    <row r="31">
      <c r="A31">
        <v>45139</v>
      </c>
      <c r="B31">
        <f>kWh!B31*('Elec Rates'!B31-'CS Rates'!B31)</f>
        <v>961.9701</v>
      </c>
      <c r="C31">
        <f>kWh!C31*('Elec Rates'!C31-'CS Rates'!C31)</f>
        <v>410.76619999999997</v>
      </c>
      <c r="D31">
        <f>kWh!D31*('Elec Rates'!D31-'CS Rates'!D31)</f>
        <v>1211.4378000000002</v>
      </c>
      <c r="E31">
        <f>kWh!E31*('Elec Rates'!E31-'CS Rates'!E31)</f>
        <v>1180.426</v>
      </c>
      <c r="F31">
        <f>kWh!F31*('Elec Rates'!F31-'CS Rates'!F31)</f>
        <v>642.6168000000001</v>
      </c>
      <c r="G31">
        <f>kWh!G31*('Elec Rates'!G31-'CS Rates'!G31)</f>
        <v>314.45820000000003</v>
      </c>
      <c r="H31">
        <f>kWh!H31*('Elec Rates'!H31-'CS Rates'!H31)</f>
        <v>932.1900000000002</v>
      </c>
      <c r="I31">
        <f>kWh!I31*('Elec Rates'!I31-'CS Rates'!I31)</f>
        <v>0</v>
      </c>
      <c r="J31">
        <f>kWh!J31*('Elec Rates'!J31-'CS Rates'!J31)</f>
        <v>0</v>
      </c>
      <c r="K31">
        <f>kWh!K31*('Elec Rates'!K31-'CS Rates'!K31)</f>
        <v>0</v>
      </c>
      <c r="L31">
        <f>kWh!L31*('Elec Rates'!L31-'CS Rates'!L31)</f>
        <v>0</v>
      </c>
      <c r="M31">
        <f>kWh!M31*('Elec Rates'!M31-'CS Rates'!M31)</f>
        <v>0</v>
      </c>
      <c r="N31">
        <f>kWh!N31*('Elec Rates'!N31-'CS Rates'!N31)</f>
        <v>0</v>
      </c>
      <c r="O31">
        <f>kWh!O31*('Elec Rates'!O31-'CS Rates'!O31)</f>
        <v>0</v>
      </c>
      <c r="P31">
        <f>kWh!P31*('Elec Rates'!P31-'CS Rates'!P31)</f>
        <v>0</v>
      </c>
      <c r="Q31">
        <f>kWh!Q31*('Elec Rates'!Q31-'CS Rates'!Q31)</f>
        <v>0</v>
      </c>
      <c r="R31">
        <f>kWh!R31*('Elec Rates'!R31-'CS Rates'!R31)</f>
        <v>0</v>
      </c>
      <c r="S31">
        <f>kWh!S31*('Elec Rates'!S31-'CS Rates'!S31)</f>
        <v>0</v>
      </c>
      <c r="T31">
        <f>kWh!T31*('Elec Rates'!T31-'CS Rates'!T31)</f>
        <v>0</v>
      </c>
      <c r="U31">
        <f>kWh!U31*('Elec Rates'!U31-'CS Rates'!U31)</f>
        <v>0</v>
      </c>
      <c r="V31">
        <f>kWh!V31*('Elec Rates'!V31-'CS Rates'!V31)</f>
        <v>0</v>
      </c>
      <c r="W31">
        <f>kWh!W31*('Elec Rates'!W31-'CS Rates'!W31)</f>
        <v>0</v>
      </c>
      <c r="X31">
        <f>kWh!X31*('Elec Rates'!X31-'CS Rates'!X31)</f>
        <v>0</v>
      </c>
      <c r="Y31">
        <f>kWh!Y31*('Elec Rates'!Y31-'CS Rates'!Y31)</f>
        <v>0</v>
      </c>
      <c r="Z31">
        <f>kWh!Z31*('Elec Rates'!Z31-'CS Rates'!Z31)</f>
        <v>0</v>
      </c>
      <c r="AA31">
        <f>kWh!AA31*('Elec Rates'!AA31-'CS Rates'!AA31)</f>
        <v>0</v>
      </c>
      <c r="AB31">
        <f>kWh!AB31*('Elec Rates'!AB31-'CS Rates'!AB31)</f>
        <v>0</v>
      </c>
      <c r="AC31">
        <f>kWh!AC31*('Elec Rates'!AC31-'CS Rates'!AC31)</f>
        <v>0</v>
      </c>
      <c r="AD31">
        <f>kWh!AD31*('Elec Rates'!AD31-'CS Rates'!AD31)</f>
        <v>0</v>
      </c>
      <c r="AE31">
        <f>kWh!AE31*('Elec Rates'!AE31-'CS Rates'!AE31)</f>
        <v>0</v>
      </c>
      <c r="AF31">
        <f>kWh!AF31*('Elec Rates'!AF31-'CS Rates'!AF31)</f>
        <v>0</v>
      </c>
      <c r="AG31">
        <f>kWh!AG31*('Elec Rates'!AG31-'CS Rates'!AG31)</f>
        <v>0</v>
      </c>
      <c r="AH31">
        <f>kWh!AH31*('Elec Rates'!AH31-'CS Rates'!AH31)</f>
        <v>0</v>
      </c>
      <c r="AI31">
        <f>kWh!AI31*('Elec Rates'!AI31-'CS Rates'!AI31)</f>
        <v>0</v>
      </c>
      <c r="AJ31">
        <f>kWh!AJ31*('Elec Rates'!AJ31-'CS Rates'!AJ31)</f>
        <v>0</v>
      </c>
      <c r="AK31">
        <f>kWh!AK31*('Elec Rates'!AK31-'CS Rates'!AK31)</f>
        <v>0</v>
      </c>
      <c r="AL31">
        <f>kWh!AL31*('Elec Rates'!AL31-'CS Rates'!AL31)</f>
        <v>0</v>
      </c>
      <c r="AM31">
        <f>kWh!AM31*('Elec Rates'!AM31-'CS Rates'!AM31)</f>
        <v>0</v>
      </c>
      <c r="AN31">
        <f>kWh!AN31*('Elec Rates'!AN31-'CS Rates'!AN31)</f>
        <v>0</v>
      </c>
      <c r="AO31">
        <f>kWh!AO31*('Elec Rates'!AO31-'CS Rates'!AO31)</f>
        <v>0</v>
      </c>
      <c r="AP31">
        <f>kWh!AP31*('Elec Rates'!AP31-'CS Rates'!AP31)</f>
        <v>0</v>
      </c>
      <c r="AQ31">
        <f>SUM(B31:AP31)</f>
        <v>5653.865100000001</v>
      </c>
    </row>
    <row r="32">
      <c r="A32">
        <v>45170</v>
      </c>
      <c r="B32">
        <f>kWh!B32*('Elec Rates'!B32-'CS Rates'!B32)</f>
        <v>909.3021000000001</v>
      </c>
      <c r="C32">
        <f>kWh!C32*('Elec Rates'!C32-'CS Rates'!C32)</f>
        <v>400.0337</v>
      </c>
      <c r="D32">
        <f>kWh!D32*('Elec Rates'!D32-'CS Rates'!D32)</f>
        <v>984.6862</v>
      </c>
      <c r="E32">
        <f>kWh!E32*('Elec Rates'!E32-'CS Rates'!E32)</f>
        <v>1101.7761</v>
      </c>
      <c r="F32">
        <f>kWh!F32*('Elec Rates'!F32-'CS Rates'!F32)</f>
        <v>534.4086000000001</v>
      </c>
      <c r="G32">
        <f>kWh!G32*('Elec Rates'!G32-'CS Rates'!G32)</f>
        <v>272.83500000000004</v>
      </c>
      <c r="H32">
        <f>kWh!H32*('Elec Rates'!H32-'CS Rates'!H32)</f>
        <v>807.9313000000001</v>
      </c>
      <c r="I32">
        <f>kWh!I32*('Elec Rates'!I32-'CS Rates'!I32)</f>
        <v>0</v>
      </c>
      <c r="J32">
        <f>kWh!J32*('Elec Rates'!J32-'CS Rates'!J32)</f>
        <v>0</v>
      </c>
      <c r="K32">
        <f>kWh!K32*('Elec Rates'!K32-'CS Rates'!K32)</f>
        <v>0</v>
      </c>
      <c r="L32">
        <f>kWh!L32*('Elec Rates'!L32-'CS Rates'!L32)</f>
        <v>0</v>
      </c>
      <c r="M32">
        <f>kWh!M32*('Elec Rates'!M32-'CS Rates'!M32)</f>
        <v>0</v>
      </c>
      <c r="N32">
        <f>kWh!N32*('Elec Rates'!N32-'CS Rates'!N32)</f>
        <v>0</v>
      </c>
      <c r="O32">
        <f>kWh!O32*('Elec Rates'!O32-'CS Rates'!O32)</f>
        <v>0</v>
      </c>
      <c r="P32">
        <f>kWh!P32*('Elec Rates'!P32-'CS Rates'!P32)</f>
        <v>0</v>
      </c>
      <c r="Q32">
        <f>kWh!Q32*('Elec Rates'!Q32-'CS Rates'!Q32)</f>
        <v>0</v>
      </c>
      <c r="R32">
        <f>kWh!R32*('Elec Rates'!R32-'CS Rates'!R32)</f>
        <v>0</v>
      </c>
      <c r="S32">
        <f>kWh!S32*('Elec Rates'!S32-'CS Rates'!S32)</f>
        <v>0</v>
      </c>
      <c r="T32">
        <f>kWh!T32*('Elec Rates'!T32-'CS Rates'!T32)</f>
        <v>0</v>
      </c>
      <c r="U32">
        <f>kWh!U32*('Elec Rates'!U32-'CS Rates'!U32)</f>
        <v>0</v>
      </c>
      <c r="V32">
        <f>kWh!V32*('Elec Rates'!V32-'CS Rates'!V32)</f>
        <v>0</v>
      </c>
      <c r="W32">
        <f>kWh!W32*('Elec Rates'!W32-'CS Rates'!W32)</f>
        <v>0</v>
      </c>
      <c r="X32">
        <f>kWh!X32*('Elec Rates'!X32-'CS Rates'!X32)</f>
        <v>0</v>
      </c>
      <c r="Y32">
        <f>kWh!Y32*('Elec Rates'!Y32-'CS Rates'!Y32)</f>
        <v>0</v>
      </c>
      <c r="Z32">
        <f>kWh!Z32*('Elec Rates'!Z32-'CS Rates'!Z32)</f>
        <v>0</v>
      </c>
      <c r="AA32">
        <f>kWh!AA32*('Elec Rates'!AA32-'CS Rates'!AA32)</f>
        <v>0</v>
      </c>
      <c r="AB32">
        <f>kWh!AB32*('Elec Rates'!AB32-'CS Rates'!AB32)</f>
        <v>0</v>
      </c>
      <c r="AC32">
        <f>kWh!AC32*('Elec Rates'!AC32-'CS Rates'!AC32)</f>
        <v>0</v>
      </c>
      <c r="AD32">
        <f>kWh!AD32*('Elec Rates'!AD32-'CS Rates'!AD32)</f>
        <v>0</v>
      </c>
      <c r="AE32">
        <f>kWh!AE32*('Elec Rates'!AE32-'CS Rates'!AE32)</f>
        <v>0</v>
      </c>
      <c r="AF32">
        <f>kWh!AF32*('Elec Rates'!AF32-'CS Rates'!AF32)</f>
        <v>0</v>
      </c>
      <c r="AG32">
        <f>kWh!AG32*('Elec Rates'!AG32-'CS Rates'!AG32)</f>
        <v>0</v>
      </c>
      <c r="AH32">
        <f>kWh!AH32*('Elec Rates'!AH32-'CS Rates'!AH32)</f>
        <v>0</v>
      </c>
      <c r="AI32">
        <f>kWh!AI32*('Elec Rates'!AI32-'CS Rates'!AI32)</f>
        <v>0</v>
      </c>
      <c r="AJ32">
        <f>kWh!AJ32*('Elec Rates'!AJ32-'CS Rates'!AJ32)</f>
        <v>0</v>
      </c>
      <c r="AK32">
        <f>kWh!AK32*('Elec Rates'!AK32-'CS Rates'!AK32)</f>
        <v>0</v>
      </c>
      <c r="AL32">
        <f>kWh!AL32*('Elec Rates'!AL32-'CS Rates'!AL32)</f>
        <v>0</v>
      </c>
      <c r="AM32">
        <f>kWh!AM32*('Elec Rates'!AM32-'CS Rates'!AM32)</f>
        <v>0</v>
      </c>
      <c r="AN32">
        <f>kWh!AN32*('Elec Rates'!AN32-'CS Rates'!AN32)</f>
        <v>0</v>
      </c>
      <c r="AO32">
        <f>kWh!AO32*('Elec Rates'!AO32-'CS Rates'!AO32)</f>
        <v>0</v>
      </c>
      <c r="AP32">
        <f>kWh!AP32*('Elec Rates'!AP32-'CS Rates'!AP32)</f>
        <v>0</v>
      </c>
      <c r="AQ32">
        <f>SUM(B32:AP32)</f>
        <v>5010.973</v>
      </c>
    </row>
    <row r="33">
      <c r="A33">
        <v>45200</v>
      </c>
      <c r="B33">
        <f>kWh!B33*('Elec Rates'!B33-'CS Rates'!B33)</f>
        <v>293.03119999999996</v>
      </c>
      <c r="C33">
        <f>kWh!C33*('Elec Rates'!C33-'CS Rates'!C33)</f>
        <v>291.2634</v>
      </c>
      <c r="D33">
        <f>kWh!D33*('Elec Rates'!D33-'CS Rates'!D33)</f>
        <v>317.5902</v>
      </c>
      <c r="E33">
        <f>kWh!E33*('Elec Rates'!E33-'CS Rates'!E33)</f>
        <v>356.1129000000001</v>
      </c>
      <c r="F33">
        <f>kWh!F33*('Elec Rates'!F33-'CS Rates'!F33)</f>
        <v>453.72800000000007</v>
      </c>
      <c r="G33">
        <f>kWh!G33*('Elec Rates'!G33-'CS Rates'!G33)</f>
        <v>84.77120000000002</v>
      </c>
      <c r="H33">
        <f>kWh!H33*('Elec Rates'!H33-'CS Rates'!H33)</f>
        <v>811.3149000000002</v>
      </c>
      <c r="I33">
        <f>kWh!I33*('Elec Rates'!I33-'CS Rates'!I33)</f>
        <v>0</v>
      </c>
      <c r="J33">
        <f>kWh!J33*('Elec Rates'!J33-'CS Rates'!J33)</f>
        <v>0</v>
      </c>
      <c r="K33">
        <f>kWh!K33*('Elec Rates'!K33-'CS Rates'!K33)</f>
        <v>0</v>
      </c>
      <c r="L33">
        <f>kWh!L33*('Elec Rates'!L33-'CS Rates'!L33)</f>
        <v>0</v>
      </c>
      <c r="M33">
        <f>kWh!M33*('Elec Rates'!M33-'CS Rates'!M33)</f>
        <v>0</v>
      </c>
      <c r="N33">
        <f>kWh!N33*('Elec Rates'!N33-'CS Rates'!N33)</f>
        <v>0</v>
      </c>
      <c r="O33">
        <f>kWh!O33*('Elec Rates'!O33-'CS Rates'!O33)</f>
        <v>0</v>
      </c>
      <c r="P33">
        <f>kWh!P33*('Elec Rates'!P33-'CS Rates'!P33)</f>
        <v>0</v>
      </c>
      <c r="Q33">
        <f>kWh!Q33*('Elec Rates'!Q33-'CS Rates'!Q33)</f>
        <v>0</v>
      </c>
      <c r="R33">
        <f>kWh!R33*('Elec Rates'!R33-'CS Rates'!R33)</f>
        <v>0</v>
      </c>
      <c r="S33">
        <f>kWh!S33*('Elec Rates'!S33-'CS Rates'!S33)</f>
        <v>0</v>
      </c>
      <c r="T33">
        <f>kWh!T33*('Elec Rates'!T33-'CS Rates'!T33)</f>
        <v>0</v>
      </c>
      <c r="U33">
        <f>kWh!U33*('Elec Rates'!U33-'CS Rates'!U33)</f>
        <v>0</v>
      </c>
      <c r="V33">
        <f>kWh!V33*('Elec Rates'!V33-'CS Rates'!V33)</f>
        <v>0</v>
      </c>
      <c r="W33">
        <f>kWh!W33*('Elec Rates'!W33-'CS Rates'!W33)</f>
        <v>0</v>
      </c>
      <c r="X33">
        <f>kWh!X33*('Elec Rates'!X33-'CS Rates'!X33)</f>
        <v>0</v>
      </c>
      <c r="Y33">
        <f>kWh!Y33*('Elec Rates'!Y33-'CS Rates'!Y33)</f>
        <v>0</v>
      </c>
      <c r="Z33">
        <f>kWh!Z33*('Elec Rates'!Z33-'CS Rates'!Z33)</f>
        <v>0</v>
      </c>
      <c r="AA33">
        <f>kWh!AA33*('Elec Rates'!AA33-'CS Rates'!AA33)</f>
        <v>0</v>
      </c>
      <c r="AB33">
        <f>kWh!AB33*('Elec Rates'!AB33-'CS Rates'!AB33)</f>
        <v>0</v>
      </c>
      <c r="AC33">
        <f>kWh!AC33*('Elec Rates'!AC33-'CS Rates'!AC33)</f>
        <v>0</v>
      </c>
      <c r="AD33">
        <f>kWh!AD33*('Elec Rates'!AD33-'CS Rates'!AD33)</f>
        <v>0</v>
      </c>
      <c r="AE33">
        <f>kWh!AE33*('Elec Rates'!AE33-'CS Rates'!AE33)</f>
        <v>0</v>
      </c>
      <c r="AF33">
        <f>kWh!AF33*('Elec Rates'!AF33-'CS Rates'!AF33)</f>
        <v>0</v>
      </c>
      <c r="AG33">
        <f>kWh!AG33*('Elec Rates'!AG33-'CS Rates'!AG33)</f>
        <v>0</v>
      </c>
      <c r="AH33">
        <f>kWh!AH33*('Elec Rates'!AH33-'CS Rates'!AH33)</f>
        <v>0</v>
      </c>
      <c r="AI33">
        <f>kWh!AI33*('Elec Rates'!AI33-'CS Rates'!AI33)</f>
        <v>0</v>
      </c>
      <c r="AJ33">
        <f>kWh!AJ33*('Elec Rates'!AJ33-'CS Rates'!AJ33)</f>
        <v>0</v>
      </c>
      <c r="AK33">
        <f>kWh!AK33*('Elec Rates'!AK33-'CS Rates'!AK33)</f>
        <v>0</v>
      </c>
      <c r="AL33">
        <f>kWh!AL33*('Elec Rates'!AL33-'CS Rates'!AL33)</f>
        <v>0</v>
      </c>
      <c r="AM33">
        <f>kWh!AM33*('Elec Rates'!AM33-'CS Rates'!AM33)</f>
        <v>0</v>
      </c>
      <c r="AN33">
        <f>kWh!AN33*('Elec Rates'!AN33-'CS Rates'!AN33)</f>
        <v>0</v>
      </c>
      <c r="AO33">
        <f>kWh!AO33*('Elec Rates'!AO33-'CS Rates'!AO33)</f>
        <v>0</v>
      </c>
      <c r="AP33">
        <f>kWh!AP33*('Elec Rates'!AP33-'CS Rates'!AP33)</f>
        <v>0</v>
      </c>
      <c r="AQ33">
        <f>SUM(B33:AP33)</f>
        <v>2607.8118000000004</v>
      </c>
    </row>
    <row r="34">
      <c r="A34">
        <v>45231</v>
      </c>
      <c r="B34">
        <f>kWh!B34*('Elec Rates'!B34-'CS Rates'!B34)</f>
        <v>194.12270000000004</v>
      </c>
      <c r="C34">
        <f>kWh!C34*('Elec Rates'!C34-'CS Rates'!C34)</f>
        <v>182.54320000000004</v>
      </c>
      <c r="D34">
        <f>kWh!D34*('Elec Rates'!D34-'CS Rates'!D34)</f>
        <v>256.6858</v>
      </c>
      <c r="E34">
        <f>kWh!E34*('Elec Rates'!E34-'CS Rates'!E34)</f>
        <v>308.2323</v>
      </c>
      <c r="F34">
        <f>kWh!F34*('Elec Rates'!F34-'CS Rates'!F34)</f>
        <v>341.45610000000005</v>
      </c>
      <c r="G34">
        <f>kWh!G34*('Elec Rates'!G34-'CS Rates'!G34)</f>
        <v>60.61770000000001</v>
      </c>
      <c r="H34">
        <f>kWh!H34*('Elec Rates'!H34-'CS Rates'!H34)</f>
        <v>545.2962000000001</v>
      </c>
      <c r="I34">
        <f>kWh!I34*('Elec Rates'!I34-'CS Rates'!I34)</f>
        <v>0</v>
      </c>
      <c r="J34">
        <f>kWh!J34*('Elec Rates'!J34-'CS Rates'!J34)</f>
        <v>0</v>
      </c>
      <c r="K34">
        <f>kWh!K34*('Elec Rates'!K34-'CS Rates'!K34)</f>
        <v>0</v>
      </c>
      <c r="L34">
        <f>kWh!L34*('Elec Rates'!L34-'CS Rates'!L34)</f>
        <v>0</v>
      </c>
      <c r="M34">
        <f>kWh!M34*('Elec Rates'!M34-'CS Rates'!M34)</f>
        <v>0</v>
      </c>
      <c r="N34">
        <f>kWh!N34*('Elec Rates'!N34-'CS Rates'!N34)</f>
        <v>0</v>
      </c>
      <c r="O34">
        <f>kWh!O34*('Elec Rates'!O34-'CS Rates'!O34)</f>
        <v>0</v>
      </c>
      <c r="P34">
        <f>kWh!P34*('Elec Rates'!P34-'CS Rates'!P34)</f>
        <v>0</v>
      </c>
      <c r="Q34">
        <f>kWh!Q34*('Elec Rates'!Q34-'CS Rates'!Q34)</f>
        <v>0</v>
      </c>
      <c r="R34">
        <f>kWh!R34*('Elec Rates'!R34-'CS Rates'!R34)</f>
        <v>0</v>
      </c>
      <c r="S34">
        <f>kWh!S34*('Elec Rates'!S34-'CS Rates'!S34)</f>
        <v>0</v>
      </c>
      <c r="T34">
        <f>kWh!T34*('Elec Rates'!T34-'CS Rates'!T34)</f>
        <v>0</v>
      </c>
      <c r="U34">
        <f>kWh!U34*('Elec Rates'!U34-'CS Rates'!U34)</f>
        <v>0</v>
      </c>
      <c r="V34">
        <f>kWh!V34*('Elec Rates'!V34-'CS Rates'!V34)</f>
        <v>0</v>
      </c>
      <c r="W34">
        <f>kWh!W34*('Elec Rates'!W34-'CS Rates'!W34)</f>
        <v>0</v>
      </c>
      <c r="X34">
        <f>kWh!X34*('Elec Rates'!X34-'CS Rates'!X34)</f>
        <v>0</v>
      </c>
      <c r="Y34">
        <f>kWh!Y34*('Elec Rates'!Y34-'CS Rates'!Y34)</f>
        <v>0</v>
      </c>
      <c r="Z34">
        <f>kWh!Z34*('Elec Rates'!Z34-'CS Rates'!Z34)</f>
        <v>0</v>
      </c>
      <c r="AA34">
        <f>kWh!AA34*('Elec Rates'!AA34-'CS Rates'!AA34)</f>
        <v>0</v>
      </c>
      <c r="AB34">
        <f>kWh!AB34*('Elec Rates'!AB34-'CS Rates'!AB34)</f>
        <v>0</v>
      </c>
      <c r="AC34">
        <f>kWh!AC34*('Elec Rates'!AC34-'CS Rates'!AC34)</f>
        <v>0</v>
      </c>
      <c r="AD34">
        <f>kWh!AD34*('Elec Rates'!AD34-'CS Rates'!AD34)</f>
        <v>0</v>
      </c>
      <c r="AE34">
        <f>kWh!AE34*('Elec Rates'!AE34-'CS Rates'!AE34)</f>
        <v>0</v>
      </c>
      <c r="AF34">
        <f>kWh!AF34*('Elec Rates'!AF34-'CS Rates'!AF34)</f>
        <v>0</v>
      </c>
      <c r="AG34">
        <f>kWh!AG34*('Elec Rates'!AG34-'CS Rates'!AG34)</f>
        <v>0</v>
      </c>
      <c r="AH34">
        <f>kWh!AH34*('Elec Rates'!AH34-'CS Rates'!AH34)</f>
        <v>0</v>
      </c>
      <c r="AI34">
        <f>kWh!AI34*('Elec Rates'!AI34-'CS Rates'!AI34)</f>
        <v>0</v>
      </c>
      <c r="AJ34">
        <f>kWh!AJ34*('Elec Rates'!AJ34-'CS Rates'!AJ34)</f>
        <v>0</v>
      </c>
      <c r="AK34">
        <f>kWh!AK34*('Elec Rates'!AK34-'CS Rates'!AK34)</f>
        <v>0</v>
      </c>
      <c r="AL34">
        <f>kWh!AL34*('Elec Rates'!AL34-'CS Rates'!AL34)</f>
        <v>0</v>
      </c>
      <c r="AM34">
        <f>kWh!AM34*('Elec Rates'!AM34-'CS Rates'!AM34)</f>
        <v>0</v>
      </c>
      <c r="AN34">
        <f>kWh!AN34*('Elec Rates'!AN34-'CS Rates'!AN34)</f>
        <v>0</v>
      </c>
      <c r="AO34">
        <f>kWh!AO34*('Elec Rates'!AO34-'CS Rates'!AO34)</f>
        <v>0</v>
      </c>
      <c r="AP34">
        <f>kWh!AP34*('Elec Rates'!AP34-'CS Rates'!AP34)</f>
        <v>0</v>
      </c>
      <c r="AQ34">
        <f>SUM(B34:AP34)</f>
        <v>1888.9540000000002</v>
      </c>
    </row>
    <row r="35">
      <c r="A35">
        <v>45261</v>
      </c>
      <c r="B35">
        <f>kWh!B35*('Elec Rates'!B35-'CS Rates'!B35)</f>
        <v>129.5319</v>
      </c>
      <c r="C35">
        <f>kWh!C35*('Elec Rates'!C35-'CS Rates'!C35)</f>
        <v>174.78720000000004</v>
      </c>
      <c r="D35">
        <f>kWh!D35*('Elec Rates'!D35-'CS Rates'!D35)</f>
        <v>235.6476</v>
      </c>
      <c r="E35">
        <f>kWh!E35*('Elec Rates'!E35-'CS Rates'!E35)</f>
        <v>260.9134</v>
      </c>
      <c r="F35">
        <f>kWh!F35*('Elec Rates'!F35-'CS Rates'!F35)</f>
        <v>258.6726</v>
      </c>
      <c r="G35">
        <f>kWh!G35*('Elec Rates'!G35-'CS Rates'!G35)</f>
        <v>54.116099999999996</v>
      </c>
      <c r="H35">
        <f>kWh!H35*('Elec Rates'!H35-'CS Rates'!H35)</f>
        <v>416.8089</v>
      </c>
      <c r="I35">
        <f>kWh!I35*('Elec Rates'!I35-'CS Rates'!I35)</f>
        <v>0</v>
      </c>
      <c r="J35">
        <f>kWh!J35*('Elec Rates'!J35-'CS Rates'!J35)</f>
        <v>0</v>
      </c>
      <c r="K35">
        <f>kWh!K35*('Elec Rates'!K35-'CS Rates'!K35)</f>
        <v>0</v>
      </c>
      <c r="L35">
        <f>kWh!L35*('Elec Rates'!L35-'CS Rates'!L35)</f>
        <v>0</v>
      </c>
      <c r="M35">
        <f>kWh!M35*('Elec Rates'!M35-'CS Rates'!M35)</f>
        <v>0</v>
      </c>
      <c r="N35">
        <f>kWh!N35*('Elec Rates'!N35-'CS Rates'!N35)</f>
        <v>0</v>
      </c>
      <c r="O35">
        <f>kWh!O35*('Elec Rates'!O35-'CS Rates'!O35)</f>
        <v>0</v>
      </c>
      <c r="P35">
        <f>kWh!P35*('Elec Rates'!P35-'CS Rates'!P35)</f>
        <v>0</v>
      </c>
      <c r="Q35">
        <f>kWh!Q35*('Elec Rates'!Q35-'CS Rates'!Q35)</f>
        <v>0</v>
      </c>
      <c r="R35">
        <f>kWh!R35*('Elec Rates'!R35-'CS Rates'!R35)</f>
        <v>0</v>
      </c>
      <c r="S35">
        <f>kWh!S35*('Elec Rates'!S35-'CS Rates'!S35)</f>
        <v>0</v>
      </c>
      <c r="T35">
        <f>kWh!T35*('Elec Rates'!T35-'CS Rates'!T35)</f>
        <v>0</v>
      </c>
      <c r="U35">
        <f>kWh!U35*('Elec Rates'!U35-'CS Rates'!U35)</f>
        <v>0</v>
      </c>
      <c r="V35">
        <f>kWh!V35*('Elec Rates'!V35-'CS Rates'!V35)</f>
        <v>0</v>
      </c>
      <c r="W35">
        <f>kWh!W35*('Elec Rates'!W35-'CS Rates'!W35)</f>
        <v>0</v>
      </c>
      <c r="X35">
        <f>kWh!X35*('Elec Rates'!X35-'CS Rates'!X35)</f>
        <v>0</v>
      </c>
      <c r="Y35">
        <f>kWh!Y35*('Elec Rates'!Y35-'CS Rates'!Y35)</f>
        <v>0</v>
      </c>
      <c r="Z35">
        <f>kWh!Z35*('Elec Rates'!Z35-'CS Rates'!Z35)</f>
        <v>0</v>
      </c>
      <c r="AA35">
        <f>kWh!AA35*('Elec Rates'!AA35-'CS Rates'!AA35)</f>
        <v>0</v>
      </c>
      <c r="AB35">
        <f>kWh!AB35*('Elec Rates'!AB35-'CS Rates'!AB35)</f>
        <v>0</v>
      </c>
      <c r="AC35">
        <f>kWh!AC35*('Elec Rates'!AC35-'CS Rates'!AC35)</f>
        <v>0</v>
      </c>
      <c r="AD35">
        <f>kWh!AD35*('Elec Rates'!AD35-'CS Rates'!AD35)</f>
        <v>0</v>
      </c>
      <c r="AE35">
        <f>kWh!AE35*('Elec Rates'!AE35-'CS Rates'!AE35)</f>
        <v>0</v>
      </c>
      <c r="AF35">
        <f>kWh!AF35*('Elec Rates'!AF35-'CS Rates'!AF35)</f>
        <v>0</v>
      </c>
      <c r="AG35">
        <f>kWh!AG35*('Elec Rates'!AG35-'CS Rates'!AG35)</f>
        <v>0</v>
      </c>
      <c r="AH35">
        <f>kWh!AH35*('Elec Rates'!AH35-'CS Rates'!AH35)</f>
        <v>0</v>
      </c>
      <c r="AI35">
        <f>kWh!AI35*('Elec Rates'!AI35-'CS Rates'!AI35)</f>
        <v>0</v>
      </c>
      <c r="AJ35">
        <f>kWh!AJ35*('Elec Rates'!AJ35-'CS Rates'!AJ35)</f>
        <v>0</v>
      </c>
      <c r="AK35">
        <f>kWh!AK35*('Elec Rates'!AK35-'CS Rates'!AK35)</f>
        <v>0</v>
      </c>
      <c r="AL35">
        <f>kWh!AL35*('Elec Rates'!AL35-'CS Rates'!AL35)</f>
        <v>0</v>
      </c>
      <c r="AM35">
        <f>kWh!AM35*('Elec Rates'!AM35-'CS Rates'!AM35)</f>
        <v>0</v>
      </c>
      <c r="AN35">
        <f>kWh!AN35*('Elec Rates'!AN35-'CS Rates'!AN35)</f>
        <v>0</v>
      </c>
      <c r="AO35">
        <f>kWh!AO35*('Elec Rates'!AO35-'CS Rates'!AO35)</f>
        <v>0</v>
      </c>
      <c r="AP35">
        <f>kWh!AP35*('Elec Rates'!AP35-'CS Rates'!AP35)</f>
        <v>0</v>
      </c>
      <c r="AQ35">
        <f>SUM(B35:AP35)</f>
        <v>1530.4777000000001</v>
      </c>
    </row>
    <row r="36">
      <c r="A36">
        <v>45292</v>
      </c>
      <c r="B36">
        <f>kWh!B36*('Elec Rates'!B36-'CS Rates'!B36)</f>
        <v>131.6796</v>
      </c>
      <c r="C36">
        <f>kWh!C36*('Elec Rates'!C36-'CS Rates'!C36)</f>
        <v>220.21349999999998</v>
      </c>
      <c r="D36">
        <f>kWh!D36*('Elec Rates'!D36-'CS Rates'!D36)</f>
        <v>302.08290000000005</v>
      </c>
      <c r="E36">
        <f>kWh!E36*('Elec Rates'!E36-'CS Rates'!E36)</f>
        <v>240.65560000000002</v>
      </c>
      <c r="F36">
        <f>kWh!F36*('Elec Rates'!F36-'CS Rates'!F36)</f>
        <v>210.8976</v>
      </c>
      <c r="G36">
        <f>kWh!G36*('Elec Rates'!G36-'CS Rates'!G36)</f>
        <v>61.468100000000014</v>
      </c>
      <c r="H36">
        <f>kWh!H36*('Elec Rates'!H36-'CS Rates'!H36)</f>
        <v>564.0558000000001</v>
      </c>
      <c r="I36">
        <f>kWh!I36*('Elec Rates'!I36-'CS Rates'!I36)</f>
        <v>0</v>
      </c>
      <c r="J36">
        <f>kWh!J36*('Elec Rates'!J36-'CS Rates'!J36)</f>
        <v>0</v>
      </c>
      <c r="K36">
        <f>kWh!K36*('Elec Rates'!K36-'CS Rates'!K36)</f>
        <v>0</v>
      </c>
      <c r="L36">
        <f>kWh!L36*('Elec Rates'!L36-'CS Rates'!L36)</f>
        <v>0</v>
      </c>
      <c r="M36">
        <f>kWh!M36*('Elec Rates'!M36-'CS Rates'!M36)</f>
        <v>0</v>
      </c>
      <c r="N36">
        <f>kWh!N36*('Elec Rates'!N36-'CS Rates'!N36)</f>
        <v>0</v>
      </c>
      <c r="O36">
        <f>kWh!O36*('Elec Rates'!O36-'CS Rates'!O36)</f>
        <v>0</v>
      </c>
      <c r="P36">
        <f>kWh!P36*('Elec Rates'!P36-'CS Rates'!P36)</f>
        <v>0</v>
      </c>
      <c r="Q36">
        <f>kWh!Q36*('Elec Rates'!Q36-'CS Rates'!Q36)</f>
        <v>0</v>
      </c>
      <c r="R36">
        <f>kWh!R36*('Elec Rates'!R36-'CS Rates'!R36)</f>
        <v>0</v>
      </c>
      <c r="S36">
        <f>kWh!S36*('Elec Rates'!S36-'CS Rates'!S36)</f>
        <v>0</v>
      </c>
      <c r="T36">
        <f>kWh!T36*('Elec Rates'!T36-'CS Rates'!T36)</f>
        <v>0</v>
      </c>
      <c r="U36">
        <f>kWh!U36*('Elec Rates'!U36-'CS Rates'!U36)</f>
        <v>0</v>
      </c>
      <c r="V36">
        <f>kWh!V36*('Elec Rates'!V36-'CS Rates'!V36)</f>
        <v>0</v>
      </c>
      <c r="W36">
        <f>kWh!W36*('Elec Rates'!W36-'CS Rates'!W36)</f>
        <v>0</v>
      </c>
      <c r="X36">
        <f>kWh!X36*('Elec Rates'!X36-'CS Rates'!X36)</f>
        <v>0</v>
      </c>
      <c r="Y36">
        <f>kWh!Y36*('Elec Rates'!Y36-'CS Rates'!Y36)</f>
        <v>0</v>
      </c>
      <c r="Z36">
        <f>kWh!Z36*('Elec Rates'!Z36-'CS Rates'!Z36)</f>
        <v>0</v>
      </c>
      <c r="AA36">
        <f>kWh!AA36*('Elec Rates'!AA36-'CS Rates'!AA36)</f>
        <v>0</v>
      </c>
      <c r="AB36">
        <f>kWh!AB36*('Elec Rates'!AB36-'CS Rates'!AB36)</f>
        <v>0</v>
      </c>
      <c r="AC36">
        <f>kWh!AC36*('Elec Rates'!AC36-'CS Rates'!AC36)</f>
        <v>0</v>
      </c>
      <c r="AD36">
        <f>kWh!AD36*('Elec Rates'!AD36-'CS Rates'!AD36)</f>
        <v>0</v>
      </c>
      <c r="AE36">
        <f>kWh!AE36*('Elec Rates'!AE36-'CS Rates'!AE36)</f>
        <v>0</v>
      </c>
      <c r="AF36">
        <f>kWh!AF36*('Elec Rates'!AF36-'CS Rates'!AF36)</f>
        <v>0</v>
      </c>
      <c r="AG36">
        <f>kWh!AG36*('Elec Rates'!AG36-'CS Rates'!AG36)</f>
        <v>0</v>
      </c>
      <c r="AH36">
        <f>kWh!AH36*('Elec Rates'!AH36-'CS Rates'!AH36)</f>
        <v>0</v>
      </c>
      <c r="AI36">
        <f>kWh!AI36*('Elec Rates'!AI36-'CS Rates'!AI36)</f>
        <v>0</v>
      </c>
      <c r="AJ36">
        <f>kWh!AJ36*('Elec Rates'!AJ36-'CS Rates'!AJ36)</f>
        <v>0</v>
      </c>
      <c r="AK36">
        <f>kWh!AK36*('Elec Rates'!AK36-'CS Rates'!AK36)</f>
        <v>0</v>
      </c>
      <c r="AL36">
        <f>kWh!AL36*('Elec Rates'!AL36-'CS Rates'!AL36)</f>
        <v>0</v>
      </c>
      <c r="AM36">
        <f>kWh!AM36*('Elec Rates'!AM36-'CS Rates'!AM36)</f>
        <v>0</v>
      </c>
      <c r="AN36">
        <f>kWh!AN36*('Elec Rates'!AN36-'CS Rates'!AN36)</f>
        <v>0</v>
      </c>
      <c r="AO36">
        <f>kWh!AO36*('Elec Rates'!AO36-'CS Rates'!AO36)</f>
        <v>0</v>
      </c>
      <c r="AP36">
        <f>kWh!AP36*('Elec Rates'!AP36-'CS Rates'!AP36)</f>
        <v>0</v>
      </c>
      <c r="AQ36">
        <f>SUM(B36:AP36)</f>
        <v>1731.0531000000003</v>
      </c>
    </row>
    <row r="37">
      <c r="A37">
        <v>45323</v>
      </c>
      <c r="B37">
        <f>kWh!B37*('Elec Rates'!B37-'CS Rates'!B37)</f>
        <v>176.1466</v>
      </c>
      <c r="C37">
        <f>kWh!C37*('Elec Rates'!C37-'CS Rates'!C37)</f>
        <v>249.05399999999997</v>
      </c>
      <c r="D37">
        <f>kWh!D37*('Elec Rates'!D37-'CS Rates'!D37)</f>
        <v>335.1118</v>
      </c>
      <c r="E37">
        <f>kWh!E37*('Elec Rates'!E37-'CS Rates'!E37)</f>
        <v>299.35620000000006</v>
      </c>
      <c r="F37">
        <f>kWh!F37*('Elec Rates'!F37-'CS Rates'!F37)</f>
        <v>360.5393</v>
      </c>
      <c r="G37">
        <f>kWh!G37*('Elec Rates'!G37-'CS Rates'!G37)</f>
        <v>84.1379</v>
      </c>
      <c r="H37">
        <f>kWh!H37*('Elec Rates'!H37-'CS Rates'!H37)</f>
        <v>626.4174</v>
      </c>
      <c r="I37">
        <f>kWh!I37*('Elec Rates'!I37-'CS Rates'!I37)</f>
        <v>0</v>
      </c>
      <c r="J37">
        <f>kWh!J37*('Elec Rates'!J37-'CS Rates'!J37)</f>
        <v>0</v>
      </c>
      <c r="K37">
        <f>kWh!K37*('Elec Rates'!K37-'CS Rates'!K37)</f>
        <v>0</v>
      </c>
      <c r="L37">
        <f>kWh!L37*('Elec Rates'!L37-'CS Rates'!L37)</f>
        <v>0</v>
      </c>
      <c r="M37">
        <f>kWh!M37*('Elec Rates'!M37-'CS Rates'!M37)</f>
        <v>0</v>
      </c>
      <c r="N37">
        <f>kWh!N37*('Elec Rates'!N37-'CS Rates'!N37)</f>
        <v>0</v>
      </c>
      <c r="O37">
        <f>kWh!O37*('Elec Rates'!O37-'CS Rates'!O37)</f>
        <v>0</v>
      </c>
      <c r="P37">
        <f>kWh!P37*('Elec Rates'!P37-'CS Rates'!P37)</f>
        <v>0</v>
      </c>
      <c r="Q37">
        <f>kWh!Q37*('Elec Rates'!Q37-'CS Rates'!Q37)</f>
        <v>0</v>
      </c>
      <c r="R37">
        <f>kWh!R37*('Elec Rates'!R37-'CS Rates'!R37)</f>
        <v>0</v>
      </c>
      <c r="S37">
        <f>kWh!S37*('Elec Rates'!S37-'CS Rates'!S37)</f>
        <v>0</v>
      </c>
      <c r="T37">
        <f>kWh!T37*('Elec Rates'!T37-'CS Rates'!T37)</f>
        <v>0</v>
      </c>
      <c r="U37">
        <f>kWh!U37*('Elec Rates'!U37-'CS Rates'!U37)</f>
        <v>0</v>
      </c>
      <c r="V37">
        <f>kWh!V37*('Elec Rates'!V37-'CS Rates'!V37)</f>
        <v>0</v>
      </c>
      <c r="W37">
        <f>kWh!W37*('Elec Rates'!W37-'CS Rates'!W37)</f>
        <v>0</v>
      </c>
      <c r="X37">
        <f>kWh!X37*('Elec Rates'!X37-'CS Rates'!X37)</f>
        <v>0</v>
      </c>
      <c r="Y37">
        <f>kWh!Y37*('Elec Rates'!Y37-'CS Rates'!Y37)</f>
        <v>0</v>
      </c>
      <c r="Z37">
        <f>kWh!Z37*('Elec Rates'!Z37-'CS Rates'!Z37)</f>
        <v>0</v>
      </c>
      <c r="AA37">
        <f>kWh!AA37*('Elec Rates'!AA37-'CS Rates'!AA37)</f>
        <v>0</v>
      </c>
      <c r="AB37">
        <f>kWh!AB37*('Elec Rates'!AB37-'CS Rates'!AB37)</f>
        <v>0</v>
      </c>
      <c r="AC37">
        <f>kWh!AC37*('Elec Rates'!AC37-'CS Rates'!AC37)</f>
        <v>0</v>
      </c>
      <c r="AD37">
        <f>kWh!AD37*('Elec Rates'!AD37-'CS Rates'!AD37)</f>
        <v>0</v>
      </c>
      <c r="AE37">
        <f>kWh!AE37*('Elec Rates'!AE37-'CS Rates'!AE37)</f>
        <v>0</v>
      </c>
      <c r="AF37">
        <f>kWh!AF37*('Elec Rates'!AF37-'CS Rates'!AF37)</f>
        <v>0</v>
      </c>
      <c r="AG37">
        <f>kWh!AG37*('Elec Rates'!AG37-'CS Rates'!AG37)</f>
        <v>0</v>
      </c>
      <c r="AH37">
        <f>kWh!AH37*('Elec Rates'!AH37-'CS Rates'!AH37)</f>
        <v>0</v>
      </c>
      <c r="AI37">
        <f>kWh!AI37*('Elec Rates'!AI37-'CS Rates'!AI37)</f>
        <v>0</v>
      </c>
      <c r="AJ37">
        <f>kWh!AJ37*('Elec Rates'!AJ37-'CS Rates'!AJ37)</f>
        <v>0</v>
      </c>
      <c r="AK37">
        <f>kWh!AK37*('Elec Rates'!AK37-'CS Rates'!AK37)</f>
        <v>0</v>
      </c>
      <c r="AL37">
        <f>kWh!AL37*('Elec Rates'!AL37-'CS Rates'!AL37)</f>
        <v>0</v>
      </c>
      <c r="AM37">
        <f>kWh!AM37*('Elec Rates'!AM37-'CS Rates'!AM37)</f>
        <v>0</v>
      </c>
      <c r="AN37">
        <f>kWh!AN37*('Elec Rates'!AN37-'CS Rates'!AN37)</f>
        <v>0</v>
      </c>
      <c r="AO37">
        <f>kWh!AO37*('Elec Rates'!AO37-'CS Rates'!AO37)</f>
        <v>0</v>
      </c>
      <c r="AP37">
        <f>kWh!AP37*('Elec Rates'!AP37-'CS Rates'!AP37)</f>
        <v>0</v>
      </c>
      <c r="AQ37">
        <f>SUM(B37:AP37)</f>
        <v>2130.7632</v>
      </c>
    </row>
    <row r="38">
      <c r="A38">
        <v>45352</v>
      </c>
      <c r="B38">
        <f>kWh!B38*('Elec Rates'!B38-'CS Rates'!B38)</f>
        <v>261.2447</v>
      </c>
      <c r="C38">
        <f>kWh!C38*('Elec Rates'!C38-'CS Rates'!C38)</f>
        <v>437.3941000000001</v>
      </c>
      <c r="D38">
        <f>kWh!D38*('Elec Rates'!D38-'CS Rates'!D38)</f>
        <v>384.0192</v>
      </c>
      <c r="E38">
        <f>kWh!E38*('Elec Rates'!E38-'CS Rates'!E38)</f>
        <v>403.6061000000001</v>
      </c>
      <c r="F38">
        <f>kWh!F38*('Elec Rates'!F38-'CS Rates'!F38)</f>
        <v>472.3047</v>
      </c>
      <c r="G38">
        <f>kWh!G38*('Elec Rates'!G38-'CS Rates'!G38)</f>
        <v>107.4766</v>
      </c>
      <c r="H38">
        <f>kWh!H38*('Elec Rates'!H38-'CS Rates'!H38)</f>
        <v>831.6585000000001</v>
      </c>
      <c r="I38">
        <f>kWh!I38*('Elec Rates'!I38-'CS Rates'!I38)</f>
        <v>0</v>
      </c>
      <c r="J38">
        <f>kWh!J38*('Elec Rates'!J38-'CS Rates'!J38)</f>
        <v>0</v>
      </c>
      <c r="K38">
        <f>kWh!K38*('Elec Rates'!K38-'CS Rates'!K38)</f>
        <v>0</v>
      </c>
      <c r="L38">
        <f>kWh!L38*('Elec Rates'!L38-'CS Rates'!L38)</f>
        <v>0</v>
      </c>
      <c r="M38">
        <f>kWh!M38*('Elec Rates'!M38-'CS Rates'!M38)</f>
        <v>0</v>
      </c>
      <c r="N38">
        <f>kWh!N38*('Elec Rates'!N38-'CS Rates'!N38)</f>
        <v>0</v>
      </c>
      <c r="O38">
        <f>kWh!O38*('Elec Rates'!O38-'CS Rates'!O38)</f>
        <v>0</v>
      </c>
      <c r="P38">
        <f>kWh!P38*('Elec Rates'!P38-'CS Rates'!P38)</f>
        <v>0</v>
      </c>
      <c r="Q38">
        <f>kWh!Q38*('Elec Rates'!Q38-'CS Rates'!Q38)</f>
        <v>0</v>
      </c>
      <c r="R38">
        <f>kWh!R38*('Elec Rates'!R38-'CS Rates'!R38)</f>
        <v>0</v>
      </c>
      <c r="S38">
        <f>kWh!S38*('Elec Rates'!S38-'CS Rates'!S38)</f>
        <v>0</v>
      </c>
      <c r="T38">
        <f>kWh!T38*('Elec Rates'!T38-'CS Rates'!T38)</f>
        <v>0</v>
      </c>
      <c r="U38">
        <f>kWh!U38*('Elec Rates'!U38-'CS Rates'!U38)</f>
        <v>0</v>
      </c>
      <c r="V38">
        <f>kWh!V38*('Elec Rates'!V38-'CS Rates'!V38)</f>
        <v>0</v>
      </c>
      <c r="W38">
        <f>kWh!W38*('Elec Rates'!W38-'CS Rates'!W38)</f>
        <v>0</v>
      </c>
      <c r="X38">
        <f>kWh!X38*('Elec Rates'!X38-'CS Rates'!X38)</f>
        <v>0</v>
      </c>
      <c r="Y38">
        <f>kWh!Y38*('Elec Rates'!Y38-'CS Rates'!Y38)</f>
        <v>0</v>
      </c>
      <c r="Z38">
        <f>kWh!Z38*('Elec Rates'!Z38-'CS Rates'!Z38)</f>
        <v>0</v>
      </c>
      <c r="AA38">
        <f>kWh!AA38*('Elec Rates'!AA38-'CS Rates'!AA38)</f>
        <v>0</v>
      </c>
      <c r="AB38">
        <f>kWh!AB38*('Elec Rates'!AB38-'CS Rates'!AB38)</f>
        <v>0</v>
      </c>
      <c r="AC38">
        <f>kWh!AC38*('Elec Rates'!AC38-'CS Rates'!AC38)</f>
        <v>0</v>
      </c>
      <c r="AD38">
        <f>kWh!AD38*('Elec Rates'!AD38-'CS Rates'!AD38)</f>
        <v>0</v>
      </c>
      <c r="AE38">
        <f>kWh!AE38*('Elec Rates'!AE38-'CS Rates'!AE38)</f>
        <v>0</v>
      </c>
      <c r="AF38">
        <f>kWh!AF38*('Elec Rates'!AF38-'CS Rates'!AF38)</f>
        <v>0</v>
      </c>
      <c r="AG38">
        <f>kWh!AG38*('Elec Rates'!AG38-'CS Rates'!AG38)</f>
        <v>0</v>
      </c>
      <c r="AH38">
        <f>kWh!AH38*('Elec Rates'!AH38-'CS Rates'!AH38)</f>
        <v>0</v>
      </c>
      <c r="AI38">
        <f>kWh!AI38*('Elec Rates'!AI38-'CS Rates'!AI38)</f>
        <v>0</v>
      </c>
      <c r="AJ38">
        <f>kWh!AJ38*('Elec Rates'!AJ38-'CS Rates'!AJ38)</f>
        <v>0</v>
      </c>
      <c r="AK38">
        <f>kWh!AK38*('Elec Rates'!AK38-'CS Rates'!AK38)</f>
        <v>0</v>
      </c>
      <c r="AL38">
        <f>kWh!AL38*('Elec Rates'!AL38-'CS Rates'!AL38)</f>
        <v>0</v>
      </c>
      <c r="AM38">
        <f>kWh!AM38*('Elec Rates'!AM38-'CS Rates'!AM38)</f>
        <v>0</v>
      </c>
      <c r="AN38">
        <f>kWh!AN38*('Elec Rates'!AN38-'CS Rates'!AN38)</f>
        <v>0</v>
      </c>
      <c r="AO38">
        <f>kWh!AO38*('Elec Rates'!AO38-'CS Rates'!AO38)</f>
        <v>0</v>
      </c>
      <c r="AP38">
        <f>kWh!AP38*('Elec Rates'!AP38-'CS Rates'!AP38)</f>
        <v>0</v>
      </c>
      <c r="AQ38">
        <f>SUM(B38:AP38)</f>
        <v>2897.7039000000004</v>
      </c>
    </row>
    <row r="39">
      <c r="A39">
        <v>45383</v>
      </c>
      <c r="B39">
        <f>kWh!B39*('Elec Rates'!B39-'CS Rates'!B39)</f>
        <v>360.2169999999999</v>
      </c>
      <c r="C39">
        <f>kWh!C39*('Elec Rates'!C39-'CS Rates'!C39)</f>
        <v>470.3454</v>
      </c>
      <c r="D39">
        <f>kWh!D39*('Elec Rates'!D39-'CS Rates'!D39)</f>
        <v>418.4561999999999</v>
      </c>
      <c r="E39">
        <f>kWh!E39*('Elec Rates'!E39-'CS Rates'!E39)</f>
        <v>440.95560000000006</v>
      </c>
      <c r="F39">
        <f>kWh!F39*('Elec Rates'!F39-'CS Rates'!F39)</f>
        <v>572.9920000000001</v>
      </c>
      <c r="G39">
        <f>kWh!G39*('Elec Rates'!G39-'CS Rates'!G39)</f>
        <v>117.2736</v>
      </c>
      <c r="H39">
        <f>kWh!H39*('Elec Rates'!H39-'CS Rates'!H39)</f>
        <v>989.1720000000001</v>
      </c>
      <c r="I39">
        <f>kWh!I39*('Elec Rates'!I39-'CS Rates'!I39)</f>
        <v>0</v>
      </c>
      <c r="J39">
        <f>kWh!J39*('Elec Rates'!J39-'CS Rates'!J39)</f>
        <v>0</v>
      </c>
      <c r="K39">
        <f>kWh!K39*('Elec Rates'!K39-'CS Rates'!K39)</f>
        <v>0</v>
      </c>
      <c r="L39">
        <f>kWh!L39*('Elec Rates'!L39-'CS Rates'!L39)</f>
        <v>0</v>
      </c>
      <c r="M39">
        <f>kWh!M39*('Elec Rates'!M39-'CS Rates'!M39)</f>
        <v>0</v>
      </c>
      <c r="N39">
        <f>kWh!N39*('Elec Rates'!N39-'CS Rates'!N39)</f>
        <v>0</v>
      </c>
      <c r="O39">
        <f>kWh!O39*('Elec Rates'!O39-'CS Rates'!O39)</f>
        <v>0</v>
      </c>
      <c r="P39">
        <f>kWh!P39*('Elec Rates'!P39-'CS Rates'!P39)</f>
        <v>0</v>
      </c>
      <c r="Q39">
        <f>kWh!Q39*('Elec Rates'!Q39-'CS Rates'!Q39)</f>
        <v>0</v>
      </c>
      <c r="R39">
        <f>kWh!R39*('Elec Rates'!R39-'CS Rates'!R39)</f>
        <v>0</v>
      </c>
      <c r="S39">
        <f>kWh!S39*('Elec Rates'!S39-'CS Rates'!S39)</f>
        <v>0</v>
      </c>
      <c r="T39">
        <f>kWh!T39*('Elec Rates'!T39-'CS Rates'!T39)</f>
        <v>0</v>
      </c>
      <c r="U39">
        <f>kWh!U39*('Elec Rates'!U39-'CS Rates'!U39)</f>
        <v>0</v>
      </c>
      <c r="V39">
        <f>kWh!V39*('Elec Rates'!V39-'CS Rates'!V39)</f>
        <v>0</v>
      </c>
      <c r="W39">
        <f>kWh!W39*('Elec Rates'!W39-'CS Rates'!W39)</f>
        <v>0</v>
      </c>
      <c r="X39">
        <f>kWh!X39*('Elec Rates'!X39-'CS Rates'!X39)</f>
        <v>0</v>
      </c>
      <c r="Y39">
        <f>kWh!Y39*('Elec Rates'!Y39-'CS Rates'!Y39)</f>
        <v>0</v>
      </c>
      <c r="Z39">
        <f>kWh!Z39*('Elec Rates'!Z39-'CS Rates'!Z39)</f>
        <v>0</v>
      </c>
      <c r="AA39">
        <f>kWh!AA39*('Elec Rates'!AA39-'CS Rates'!AA39)</f>
        <v>0</v>
      </c>
      <c r="AB39">
        <f>kWh!AB39*('Elec Rates'!AB39-'CS Rates'!AB39)</f>
        <v>0</v>
      </c>
      <c r="AC39">
        <f>kWh!AC39*('Elec Rates'!AC39-'CS Rates'!AC39)</f>
        <v>0</v>
      </c>
      <c r="AD39">
        <f>kWh!AD39*('Elec Rates'!AD39-'CS Rates'!AD39)</f>
        <v>0</v>
      </c>
      <c r="AE39">
        <f>kWh!AE39*('Elec Rates'!AE39-'CS Rates'!AE39)</f>
        <v>0</v>
      </c>
      <c r="AF39">
        <f>kWh!AF39*('Elec Rates'!AF39-'CS Rates'!AF39)</f>
        <v>0</v>
      </c>
      <c r="AG39">
        <f>kWh!AG39*('Elec Rates'!AG39-'CS Rates'!AG39)</f>
        <v>0</v>
      </c>
      <c r="AH39">
        <f>kWh!AH39*('Elec Rates'!AH39-'CS Rates'!AH39)</f>
        <v>0</v>
      </c>
      <c r="AI39">
        <f>kWh!AI39*('Elec Rates'!AI39-'CS Rates'!AI39)</f>
        <v>0</v>
      </c>
      <c r="AJ39">
        <f>kWh!AJ39*('Elec Rates'!AJ39-'CS Rates'!AJ39)</f>
        <v>0</v>
      </c>
      <c r="AK39">
        <f>kWh!AK39*('Elec Rates'!AK39-'CS Rates'!AK39)</f>
        <v>0</v>
      </c>
      <c r="AL39">
        <f>kWh!AL39*('Elec Rates'!AL39-'CS Rates'!AL39)</f>
        <v>0</v>
      </c>
      <c r="AM39">
        <f>kWh!AM39*('Elec Rates'!AM39-'CS Rates'!AM39)</f>
        <v>0</v>
      </c>
      <c r="AN39">
        <f>kWh!AN39*('Elec Rates'!AN39-'CS Rates'!AN39)</f>
        <v>0</v>
      </c>
      <c r="AO39">
        <f>kWh!AO39*('Elec Rates'!AO39-'CS Rates'!AO39)</f>
        <v>0</v>
      </c>
      <c r="AP39">
        <f>kWh!AP39*('Elec Rates'!AP39-'CS Rates'!AP39)</f>
        <v>0</v>
      </c>
      <c r="AQ39">
        <f>SUM(B39:AP39)</f>
        <v>3369.4118</v>
      </c>
    </row>
    <row r="40">
      <c r="A40">
        <v>45413</v>
      </c>
      <c r="B40">
        <f>kWh!B40*('Elec Rates'!B40-'CS Rates'!B40)</f>
        <v>368.2559999999999</v>
      </c>
      <c r="C40">
        <f>kWh!C40*('Elec Rates'!C40-'CS Rates'!C40)</f>
        <v>580.0168000000001</v>
      </c>
      <c r="D40">
        <f>kWh!D40*('Elec Rates'!D40-'CS Rates'!D40)</f>
        <v>490.6452</v>
      </c>
      <c r="E40">
        <f>kWh!E40*('Elec Rates'!E40-'CS Rates'!E40)</f>
        <v>611.1468000000001</v>
      </c>
      <c r="F40">
        <f>kWh!F40*('Elec Rates'!F40-'CS Rates'!F40)</f>
        <v>627.9603</v>
      </c>
      <c r="G40">
        <f>kWh!G40*('Elec Rates'!G40-'CS Rates'!G40)</f>
        <v>103.04580000000001</v>
      </c>
      <c r="H40">
        <f>kWh!H40*('Elec Rates'!H40-'CS Rates'!H40)</f>
        <v>1059.0363000000002</v>
      </c>
      <c r="I40">
        <f>kWh!I40*('Elec Rates'!I40-'CS Rates'!I40)</f>
        <v>0</v>
      </c>
      <c r="J40">
        <f>kWh!J40*('Elec Rates'!J40-'CS Rates'!J40)</f>
        <v>0</v>
      </c>
      <c r="K40">
        <f>kWh!K40*('Elec Rates'!K40-'CS Rates'!K40)</f>
        <v>0</v>
      </c>
      <c r="L40">
        <f>kWh!L40*('Elec Rates'!L40-'CS Rates'!L40)</f>
        <v>0</v>
      </c>
      <c r="M40">
        <f>kWh!M40*('Elec Rates'!M40-'CS Rates'!M40)</f>
        <v>0</v>
      </c>
      <c r="N40">
        <f>kWh!N40*('Elec Rates'!N40-'CS Rates'!N40)</f>
        <v>0</v>
      </c>
      <c r="O40">
        <f>kWh!O40*('Elec Rates'!O40-'CS Rates'!O40)</f>
        <v>0</v>
      </c>
      <c r="P40">
        <f>kWh!P40*('Elec Rates'!P40-'CS Rates'!P40)</f>
        <v>0</v>
      </c>
      <c r="Q40">
        <f>kWh!Q40*('Elec Rates'!Q40-'CS Rates'!Q40)</f>
        <v>0</v>
      </c>
      <c r="R40">
        <f>kWh!R40*('Elec Rates'!R40-'CS Rates'!R40)</f>
        <v>0</v>
      </c>
      <c r="S40">
        <f>kWh!S40*('Elec Rates'!S40-'CS Rates'!S40)</f>
        <v>0</v>
      </c>
      <c r="T40">
        <f>kWh!T40*('Elec Rates'!T40-'CS Rates'!T40)</f>
        <v>0</v>
      </c>
      <c r="U40">
        <f>kWh!U40*('Elec Rates'!U40-'CS Rates'!U40)</f>
        <v>0</v>
      </c>
      <c r="V40">
        <f>kWh!V40*('Elec Rates'!V40-'CS Rates'!V40)</f>
        <v>0</v>
      </c>
      <c r="W40">
        <f>kWh!W40*('Elec Rates'!W40-'CS Rates'!W40)</f>
        <v>0</v>
      </c>
      <c r="X40">
        <f>kWh!X40*('Elec Rates'!X40-'CS Rates'!X40)</f>
        <v>0</v>
      </c>
      <c r="Y40">
        <f>kWh!Y40*('Elec Rates'!Y40-'CS Rates'!Y40)</f>
        <v>0</v>
      </c>
      <c r="Z40">
        <f>kWh!Z40*('Elec Rates'!Z40-'CS Rates'!Z40)</f>
        <v>0</v>
      </c>
      <c r="AA40">
        <f>kWh!AA40*('Elec Rates'!AA40-'CS Rates'!AA40)</f>
        <v>0</v>
      </c>
      <c r="AB40">
        <f>kWh!AB40*('Elec Rates'!AB40-'CS Rates'!AB40)</f>
        <v>0</v>
      </c>
      <c r="AC40">
        <f>kWh!AC40*('Elec Rates'!AC40-'CS Rates'!AC40)</f>
        <v>0</v>
      </c>
      <c r="AD40">
        <f>kWh!AD40*('Elec Rates'!AD40-'CS Rates'!AD40)</f>
        <v>0</v>
      </c>
      <c r="AE40">
        <f>kWh!AE40*('Elec Rates'!AE40-'CS Rates'!AE40)</f>
        <v>0</v>
      </c>
      <c r="AF40">
        <f>kWh!AF40*('Elec Rates'!AF40-'CS Rates'!AF40)</f>
        <v>0</v>
      </c>
      <c r="AG40">
        <f>kWh!AG40*('Elec Rates'!AG40-'CS Rates'!AG40)</f>
        <v>0</v>
      </c>
      <c r="AH40">
        <f>kWh!AH40*('Elec Rates'!AH40-'CS Rates'!AH40)</f>
        <v>0</v>
      </c>
      <c r="AI40">
        <f>kWh!AI40*('Elec Rates'!AI40-'CS Rates'!AI40)</f>
        <v>0</v>
      </c>
      <c r="AJ40">
        <f>kWh!AJ40*('Elec Rates'!AJ40-'CS Rates'!AJ40)</f>
        <v>0</v>
      </c>
      <c r="AK40">
        <f>kWh!AK40*('Elec Rates'!AK40-'CS Rates'!AK40)</f>
        <v>0</v>
      </c>
      <c r="AL40">
        <f>kWh!AL40*('Elec Rates'!AL40-'CS Rates'!AL40)</f>
        <v>0</v>
      </c>
      <c r="AM40">
        <f>kWh!AM40*('Elec Rates'!AM40-'CS Rates'!AM40)</f>
        <v>0</v>
      </c>
      <c r="AN40">
        <f>kWh!AN40*('Elec Rates'!AN40-'CS Rates'!AN40)</f>
        <v>0</v>
      </c>
      <c r="AO40">
        <f>kWh!AO40*('Elec Rates'!AO40-'CS Rates'!AO40)</f>
        <v>0</v>
      </c>
      <c r="AP40">
        <f>kWh!AP40*('Elec Rates'!AP40-'CS Rates'!AP40)</f>
        <v>0</v>
      </c>
      <c r="AQ40">
        <f>SUM(B40:AP40)</f>
        <v>3840.1072</v>
      </c>
    </row>
    <row r="41">
      <c r="A41">
        <v>45444</v>
      </c>
      <c r="B41">
        <f>kWh!B41*('Elec Rates'!B41-'CS Rates'!B41)</f>
        <v>1354.8587999999997</v>
      </c>
      <c r="C41">
        <f>kWh!C41*('Elec Rates'!C41-'CS Rates'!C41)</f>
        <v>616.701</v>
      </c>
      <c r="D41">
        <f>kWh!D41*('Elec Rates'!D41-'CS Rates'!D41)</f>
        <v>1489.7904</v>
      </c>
      <c r="E41">
        <f>kWh!E41*('Elec Rates'!E41-'CS Rates'!E41)</f>
        <v>1840.8271</v>
      </c>
      <c r="F41">
        <f>kWh!F41*('Elec Rates'!F41-'CS Rates'!F41)</f>
        <v>735.5063</v>
      </c>
      <c r="G41">
        <f>kWh!G41*('Elec Rates'!G41-'CS Rates'!G41)</f>
        <v>392.11469999999997</v>
      </c>
      <c r="H41">
        <f>kWh!H41*('Elec Rates'!H41-'CS Rates'!H41)</f>
        <v>1169.0775000000003</v>
      </c>
      <c r="I41">
        <f>kWh!I41*('Elec Rates'!I41-'CS Rates'!I41)</f>
        <v>0</v>
      </c>
      <c r="J41">
        <f>kWh!J41*('Elec Rates'!J41-'CS Rates'!J41)</f>
        <v>0</v>
      </c>
      <c r="K41">
        <f>kWh!K41*('Elec Rates'!K41-'CS Rates'!K41)</f>
        <v>0</v>
      </c>
      <c r="L41">
        <f>kWh!L41*('Elec Rates'!L41-'CS Rates'!L41)</f>
        <v>0</v>
      </c>
      <c r="M41">
        <f>kWh!M41*('Elec Rates'!M41-'CS Rates'!M41)</f>
        <v>0</v>
      </c>
      <c r="N41">
        <f>kWh!N41*('Elec Rates'!N41-'CS Rates'!N41)</f>
        <v>0</v>
      </c>
      <c r="O41">
        <f>kWh!O41*('Elec Rates'!O41-'CS Rates'!O41)</f>
        <v>0</v>
      </c>
      <c r="P41">
        <f>kWh!P41*('Elec Rates'!P41-'CS Rates'!P41)</f>
        <v>0</v>
      </c>
      <c r="Q41">
        <f>kWh!Q41*('Elec Rates'!Q41-'CS Rates'!Q41)</f>
        <v>0</v>
      </c>
      <c r="R41">
        <f>kWh!R41*('Elec Rates'!R41-'CS Rates'!R41)</f>
        <v>0</v>
      </c>
      <c r="S41">
        <f>kWh!S41*('Elec Rates'!S41-'CS Rates'!S41)</f>
        <v>0</v>
      </c>
      <c r="T41">
        <f>kWh!T41*('Elec Rates'!T41-'CS Rates'!T41)</f>
        <v>0</v>
      </c>
      <c r="U41">
        <f>kWh!U41*('Elec Rates'!U41-'CS Rates'!U41)</f>
        <v>0</v>
      </c>
      <c r="V41">
        <f>kWh!V41*('Elec Rates'!V41-'CS Rates'!V41)</f>
        <v>0</v>
      </c>
      <c r="W41">
        <f>kWh!W41*('Elec Rates'!W41-'CS Rates'!W41)</f>
        <v>0</v>
      </c>
      <c r="X41">
        <f>kWh!X41*('Elec Rates'!X41-'CS Rates'!X41)</f>
        <v>0</v>
      </c>
      <c r="Y41">
        <f>kWh!Y41*('Elec Rates'!Y41-'CS Rates'!Y41)</f>
        <v>0</v>
      </c>
      <c r="Z41">
        <f>kWh!Z41*('Elec Rates'!Z41-'CS Rates'!Z41)</f>
        <v>0</v>
      </c>
      <c r="AA41">
        <f>kWh!AA41*('Elec Rates'!AA41-'CS Rates'!AA41)</f>
        <v>0</v>
      </c>
      <c r="AB41">
        <f>kWh!AB41*('Elec Rates'!AB41-'CS Rates'!AB41)</f>
        <v>0</v>
      </c>
      <c r="AC41">
        <f>kWh!AC41*('Elec Rates'!AC41-'CS Rates'!AC41)</f>
        <v>0</v>
      </c>
      <c r="AD41">
        <f>kWh!AD41*('Elec Rates'!AD41-'CS Rates'!AD41)</f>
        <v>0</v>
      </c>
      <c r="AE41">
        <f>kWh!AE41*('Elec Rates'!AE41-'CS Rates'!AE41)</f>
        <v>0</v>
      </c>
      <c r="AF41">
        <f>kWh!AF41*('Elec Rates'!AF41-'CS Rates'!AF41)</f>
        <v>0</v>
      </c>
      <c r="AG41">
        <f>kWh!AG41*('Elec Rates'!AG41-'CS Rates'!AG41)</f>
        <v>0</v>
      </c>
      <c r="AH41">
        <f>kWh!AH41*('Elec Rates'!AH41-'CS Rates'!AH41)</f>
        <v>0</v>
      </c>
      <c r="AI41">
        <f>kWh!AI41*('Elec Rates'!AI41-'CS Rates'!AI41)</f>
        <v>0</v>
      </c>
      <c r="AJ41">
        <f>kWh!AJ41*('Elec Rates'!AJ41-'CS Rates'!AJ41)</f>
        <v>0</v>
      </c>
      <c r="AK41">
        <f>kWh!AK41*('Elec Rates'!AK41-'CS Rates'!AK41)</f>
        <v>0</v>
      </c>
      <c r="AL41">
        <f>kWh!AL41*('Elec Rates'!AL41-'CS Rates'!AL41)</f>
        <v>0</v>
      </c>
      <c r="AM41">
        <f>kWh!AM41*('Elec Rates'!AM41-'CS Rates'!AM41)</f>
        <v>0</v>
      </c>
      <c r="AN41">
        <f>kWh!AN41*('Elec Rates'!AN41-'CS Rates'!AN41)</f>
        <v>0</v>
      </c>
      <c r="AO41">
        <f>kWh!AO41*('Elec Rates'!AO41-'CS Rates'!AO41)</f>
        <v>0</v>
      </c>
      <c r="AP41">
        <f>kWh!AP41*('Elec Rates'!AP41-'CS Rates'!AP41)</f>
        <v>0</v>
      </c>
      <c r="AQ41">
        <f>SUM(B41:AP41)</f>
        <v>7598.8758</v>
      </c>
    </row>
    <row r="42">
      <c r="A42">
        <v>45474</v>
      </c>
      <c r="B42">
        <f>kWh!B42*('Elec Rates'!B42-'CS Rates'!B42)</f>
        <v>1006.6264</v>
      </c>
      <c r="C42">
        <f>kWh!C42*('Elec Rates'!C42-'CS Rates'!C42)</f>
        <v>497.64</v>
      </c>
      <c r="D42">
        <f>kWh!D42*('Elec Rates'!D42-'CS Rates'!D42)</f>
        <v>1472.5871999999997</v>
      </c>
      <c r="E42">
        <f>kWh!E42*('Elec Rates'!E42-'CS Rates'!E42)</f>
        <v>1594.124</v>
      </c>
      <c r="F42">
        <f>kWh!F42*('Elec Rates'!F42-'CS Rates'!F42)</f>
        <v>664.1019</v>
      </c>
      <c r="G42">
        <f>kWh!G42*('Elec Rates'!G42-'CS Rates'!G42)</f>
        <v>340.4144</v>
      </c>
      <c r="H42">
        <f>kWh!H42*('Elec Rates'!H42-'CS Rates'!H42)</f>
        <v>996.2102000000002</v>
      </c>
      <c r="I42">
        <f>kWh!I42*('Elec Rates'!I42-'CS Rates'!I42)</f>
        <v>0</v>
      </c>
      <c r="J42">
        <f>kWh!J42*('Elec Rates'!J42-'CS Rates'!J42)</f>
        <v>0</v>
      </c>
      <c r="K42">
        <f>kWh!K42*('Elec Rates'!K42-'CS Rates'!K42)</f>
        <v>0</v>
      </c>
      <c r="L42">
        <f>kWh!L42*('Elec Rates'!L42-'CS Rates'!L42)</f>
        <v>0</v>
      </c>
      <c r="M42">
        <f>kWh!M42*('Elec Rates'!M42-'CS Rates'!M42)</f>
        <v>0</v>
      </c>
      <c r="N42">
        <f>kWh!N42*('Elec Rates'!N42-'CS Rates'!N42)</f>
        <v>0</v>
      </c>
      <c r="O42">
        <f>kWh!O42*('Elec Rates'!O42-'CS Rates'!O42)</f>
        <v>0</v>
      </c>
      <c r="P42">
        <f>kWh!P42*('Elec Rates'!P42-'CS Rates'!P42)</f>
        <v>0</v>
      </c>
      <c r="Q42">
        <f>kWh!Q42*('Elec Rates'!Q42-'CS Rates'!Q42)</f>
        <v>0</v>
      </c>
      <c r="R42">
        <f>kWh!R42*('Elec Rates'!R42-'CS Rates'!R42)</f>
        <v>0</v>
      </c>
      <c r="S42">
        <f>kWh!S42*('Elec Rates'!S42-'CS Rates'!S42)</f>
        <v>0</v>
      </c>
      <c r="T42">
        <f>kWh!T42*('Elec Rates'!T42-'CS Rates'!T42)</f>
        <v>0</v>
      </c>
      <c r="U42">
        <f>kWh!U42*('Elec Rates'!U42-'CS Rates'!U42)</f>
        <v>0</v>
      </c>
      <c r="V42">
        <f>kWh!V42*('Elec Rates'!V42-'CS Rates'!V42)</f>
        <v>0</v>
      </c>
      <c r="W42">
        <f>kWh!W42*('Elec Rates'!W42-'CS Rates'!W42)</f>
        <v>0</v>
      </c>
      <c r="X42">
        <f>kWh!X42*('Elec Rates'!X42-'CS Rates'!X42)</f>
        <v>0</v>
      </c>
      <c r="Y42">
        <f>kWh!Y42*('Elec Rates'!Y42-'CS Rates'!Y42)</f>
        <v>0</v>
      </c>
      <c r="Z42">
        <f>kWh!Z42*('Elec Rates'!Z42-'CS Rates'!Z42)</f>
        <v>0</v>
      </c>
      <c r="AA42">
        <f>kWh!AA42*('Elec Rates'!AA42-'CS Rates'!AA42)</f>
        <v>0</v>
      </c>
      <c r="AB42">
        <f>kWh!AB42*('Elec Rates'!AB42-'CS Rates'!AB42)</f>
        <v>0</v>
      </c>
      <c r="AC42">
        <f>kWh!AC42*('Elec Rates'!AC42-'CS Rates'!AC42)</f>
        <v>0</v>
      </c>
      <c r="AD42">
        <f>kWh!AD42*('Elec Rates'!AD42-'CS Rates'!AD42)</f>
        <v>0</v>
      </c>
      <c r="AE42">
        <f>kWh!AE42*('Elec Rates'!AE42-'CS Rates'!AE42)</f>
        <v>0</v>
      </c>
      <c r="AF42">
        <f>kWh!AF42*('Elec Rates'!AF42-'CS Rates'!AF42)</f>
        <v>0</v>
      </c>
      <c r="AG42">
        <f>kWh!AG42*('Elec Rates'!AG42-'CS Rates'!AG42)</f>
        <v>0</v>
      </c>
      <c r="AH42">
        <f>kWh!AH42*('Elec Rates'!AH42-'CS Rates'!AH42)</f>
        <v>0</v>
      </c>
      <c r="AI42">
        <f>kWh!AI42*('Elec Rates'!AI42-'CS Rates'!AI42)</f>
        <v>0</v>
      </c>
      <c r="AJ42">
        <f>kWh!AJ42*('Elec Rates'!AJ42-'CS Rates'!AJ42)</f>
        <v>0</v>
      </c>
      <c r="AK42">
        <f>kWh!AK42*('Elec Rates'!AK42-'CS Rates'!AK42)</f>
        <v>0</v>
      </c>
      <c r="AL42">
        <f>kWh!AL42*('Elec Rates'!AL42-'CS Rates'!AL42)</f>
        <v>0</v>
      </c>
      <c r="AM42">
        <f>kWh!AM42*('Elec Rates'!AM42-'CS Rates'!AM42)</f>
        <v>0</v>
      </c>
      <c r="AN42">
        <f>kWh!AN42*('Elec Rates'!AN42-'CS Rates'!AN42)</f>
        <v>0</v>
      </c>
      <c r="AO42">
        <f>kWh!AO42*('Elec Rates'!AO42-'CS Rates'!AO42)</f>
        <v>0</v>
      </c>
      <c r="AP42">
        <f>kWh!AP42*('Elec Rates'!AP42-'CS Rates'!AP42)</f>
        <v>0</v>
      </c>
      <c r="AQ42">
        <f>SUM(B42:AP42)</f>
        <v>6571.704099999999</v>
      </c>
    </row>
    <row r="43">
      <c r="A43">
        <v>45505</v>
      </c>
      <c r="B43">
        <f>kWh!B43*('Elec Rates'!B43-'CS Rates'!B43)</f>
        <v>1297.7975999999996</v>
      </c>
      <c r="C43">
        <f>kWh!C43*('Elec Rates'!C43-'CS Rates'!C43)</f>
        <v>601.5473999999999</v>
      </c>
      <c r="D43">
        <f>kWh!D43*('Elec Rates'!D43-'CS Rates'!D43)</f>
        <v>1693.9259999999997</v>
      </c>
      <c r="E43">
        <f>kWh!E43*('Elec Rates'!E43-'CS Rates'!E43)</f>
        <v>1828.1724</v>
      </c>
      <c r="F43">
        <f>kWh!F43*('Elec Rates'!F43-'CS Rates'!F43)</f>
        <v>795.8032</v>
      </c>
      <c r="G43">
        <f>kWh!G43*('Elec Rates'!G43-'CS Rates'!G43)</f>
        <v>407.3139</v>
      </c>
      <c r="H43">
        <f>kWh!H43*('Elec Rates'!H43-'CS Rates'!H43)</f>
        <v>1135.6632000000002</v>
      </c>
      <c r="I43">
        <f>kWh!I43*('Elec Rates'!I43-'CS Rates'!I43)</f>
        <v>0</v>
      </c>
      <c r="J43">
        <f>kWh!J43*('Elec Rates'!J43-'CS Rates'!J43)</f>
        <v>0</v>
      </c>
      <c r="K43">
        <f>kWh!K43*('Elec Rates'!K43-'CS Rates'!K43)</f>
        <v>0</v>
      </c>
      <c r="L43">
        <f>kWh!L43*('Elec Rates'!L43-'CS Rates'!L43)</f>
        <v>0</v>
      </c>
      <c r="M43">
        <f>kWh!M43*('Elec Rates'!M43-'CS Rates'!M43)</f>
        <v>0</v>
      </c>
      <c r="N43">
        <f>kWh!N43*('Elec Rates'!N43-'CS Rates'!N43)</f>
        <v>0</v>
      </c>
      <c r="O43">
        <f>kWh!O43*('Elec Rates'!O43-'CS Rates'!O43)</f>
        <v>0</v>
      </c>
      <c r="P43">
        <f>kWh!P43*('Elec Rates'!P43-'CS Rates'!P43)</f>
        <v>0</v>
      </c>
      <c r="Q43">
        <f>kWh!Q43*('Elec Rates'!Q43-'CS Rates'!Q43)</f>
        <v>0</v>
      </c>
      <c r="R43">
        <f>kWh!R43*('Elec Rates'!R43-'CS Rates'!R43)</f>
        <v>0</v>
      </c>
      <c r="S43">
        <f>kWh!S43*('Elec Rates'!S43-'CS Rates'!S43)</f>
        <v>0</v>
      </c>
      <c r="T43">
        <f>kWh!T43*('Elec Rates'!T43-'CS Rates'!T43)</f>
        <v>0</v>
      </c>
      <c r="U43">
        <f>kWh!U43*('Elec Rates'!U43-'CS Rates'!U43)</f>
        <v>0</v>
      </c>
      <c r="V43">
        <f>kWh!V43*('Elec Rates'!V43-'CS Rates'!V43)</f>
        <v>0</v>
      </c>
      <c r="W43">
        <f>kWh!W43*('Elec Rates'!W43-'CS Rates'!W43)</f>
        <v>0</v>
      </c>
      <c r="X43">
        <f>kWh!X43*('Elec Rates'!X43-'CS Rates'!X43)</f>
        <v>0</v>
      </c>
      <c r="Y43">
        <f>kWh!Y43*('Elec Rates'!Y43-'CS Rates'!Y43)</f>
        <v>0</v>
      </c>
      <c r="Z43">
        <f>kWh!Z43*('Elec Rates'!Z43-'CS Rates'!Z43)</f>
        <v>0</v>
      </c>
      <c r="AA43">
        <f>kWh!AA43*('Elec Rates'!AA43-'CS Rates'!AA43)</f>
        <v>0</v>
      </c>
      <c r="AB43">
        <f>kWh!AB43*('Elec Rates'!AB43-'CS Rates'!AB43)</f>
        <v>0</v>
      </c>
      <c r="AC43">
        <f>kWh!AC43*('Elec Rates'!AC43-'CS Rates'!AC43)</f>
        <v>0</v>
      </c>
      <c r="AD43">
        <f>kWh!AD43*('Elec Rates'!AD43-'CS Rates'!AD43)</f>
        <v>0</v>
      </c>
      <c r="AE43">
        <f>kWh!AE43*('Elec Rates'!AE43-'CS Rates'!AE43)</f>
        <v>0</v>
      </c>
      <c r="AF43">
        <f>kWh!AF43*('Elec Rates'!AF43-'CS Rates'!AF43)</f>
        <v>0</v>
      </c>
      <c r="AG43">
        <f>kWh!AG43*('Elec Rates'!AG43-'CS Rates'!AG43)</f>
        <v>0</v>
      </c>
      <c r="AH43">
        <f>kWh!AH43*('Elec Rates'!AH43-'CS Rates'!AH43)</f>
        <v>0</v>
      </c>
      <c r="AI43">
        <f>kWh!AI43*('Elec Rates'!AI43-'CS Rates'!AI43)</f>
        <v>0</v>
      </c>
      <c r="AJ43">
        <f>kWh!AJ43*('Elec Rates'!AJ43-'CS Rates'!AJ43)</f>
        <v>0</v>
      </c>
      <c r="AK43">
        <f>kWh!AK43*('Elec Rates'!AK43-'CS Rates'!AK43)</f>
        <v>0</v>
      </c>
      <c r="AL43">
        <f>kWh!AL43*('Elec Rates'!AL43-'CS Rates'!AL43)</f>
        <v>0</v>
      </c>
      <c r="AM43">
        <f>kWh!AM43*('Elec Rates'!AM43-'CS Rates'!AM43)</f>
        <v>0</v>
      </c>
      <c r="AN43">
        <f>kWh!AN43*('Elec Rates'!AN43-'CS Rates'!AN43)</f>
        <v>0</v>
      </c>
      <c r="AO43">
        <f>kWh!AO43*('Elec Rates'!AO43-'CS Rates'!AO43)</f>
        <v>0</v>
      </c>
      <c r="AP43">
        <f>kWh!AP43*('Elec Rates'!AP43-'CS Rates'!AP43)</f>
        <v>0</v>
      </c>
      <c r="AQ43">
        <f>SUM(B43:AP43)</f>
        <v>7760.2237</v>
      </c>
    </row>
    <row r="44">
      <c r="A44">
        <v>45536</v>
      </c>
      <c r="B44">
        <f>kWh!B44*('Elec Rates'!B44-'CS Rates'!B44)</f>
        <v>798.4596000000001</v>
      </c>
      <c r="C44">
        <f>kWh!C44*('Elec Rates'!C44-'CS Rates'!C44)</f>
        <v>370.4942</v>
      </c>
      <c r="D44">
        <f>kWh!D44*('Elec Rates'!D44-'CS Rates'!D44)</f>
        <v>956.8314</v>
      </c>
      <c r="E44">
        <f>kWh!E44*('Elec Rates'!E44-'CS Rates'!E44)</f>
        <v>1007.1018</v>
      </c>
      <c r="F44">
        <f>kWh!F44*('Elec Rates'!F44-'CS Rates'!F44)</f>
        <v>478.7706</v>
      </c>
      <c r="G44">
        <f>kWh!G44*('Elec Rates'!G44-'CS Rates'!G44)</f>
        <v>264.37080000000003</v>
      </c>
      <c r="H44">
        <f>kWh!H44*('Elec Rates'!H44-'CS Rates'!H44)</f>
        <v>746.9385000000001</v>
      </c>
      <c r="I44">
        <f>kWh!I44*('Elec Rates'!I44-'CS Rates'!I44)</f>
        <v>0</v>
      </c>
      <c r="J44">
        <f>kWh!J44*('Elec Rates'!J44-'CS Rates'!J44)</f>
        <v>0</v>
      </c>
      <c r="K44">
        <f>kWh!K44*('Elec Rates'!K44-'CS Rates'!K44)</f>
        <v>0</v>
      </c>
      <c r="L44">
        <f>kWh!L44*('Elec Rates'!L44-'CS Rates'!L44)</f>
        <v>0</v>
      </c>
      <c r="M44">
        <f>kWh!M44*('Elec Rates'!M44-'CS Rates'!M44)</f>
        <v>0</v>
      </c>
      <c r="N44">
        <f>kWh!N44*('Elec Rates'!N44-'CS Rates'!N44)</f>
        <v>0</v>
      </c>
      <c r="O44">
        <f>kWh!O44*('Elec Rates'!O44-'CS Rates'!O44)</f>
        <v>0</v>
      </c>
      <c r="P44">
        <f>kWh!P44*('Elec Rates'!P44-'CS Rates'!P44)</f>
        <v>0</v>
      </c>
      <c r="Q44">
        <f>kWh!Q44*('Elec Rates'!Q44-'CS Rates'!Q44)</f>
        <v>0</v>
      </c>
      <c r="R44">
        <f>kWh!R44*('Elec Rates'!R44-'CS Rates'!R44)</f>
        <v>0</v>
      </c>
      <c r="S44">
        <f>kWh!S44*('Elec Rates'!S44-'CS Rates'!S44)</f>
        <v>0</v>
      </c>
      <c r="T44">
        <f>kWh!T44*('Elec Rates'!T44-'CS Rates'!T44)</f>
        <v>0</v>
      </c>
      <c r="U44">
        <f>kWh!U44*('Elec Rates'!U44-'CS Rates'!U44)</f>
        <v>0</v>
      </c>
      <c r="V44">
        <f>kWh!V44*('Elec Rates'!V44-'CS Rates'!V44)</f>
        <v>0</v>
      </c>
      <c r="W44">
        <f>kWh!W44*('Elec Rates'!W44-'CS Rates'!W44)</f>
        <v>0</v>
      </c>
      <c r="X44">
        <f>kWh!X44*('Elec Rates'!X44-'CS Rates'!X44)</f>
        <v>0</v>
      </c>
      <c r="Y44">
        <f>kWh!Y44*('Elec Rates'!Y44-'CS Rates'!Y44)</f>
        <v>0</v>
      </c>
      <c r="Z44">
        <f>kWh!Z44*('Elec Rates'!Z44-'CS Rates'!Z44)</f>
        <v>0</v>
      </c>
      <c r="AA44">
        <f>kWh!AA44*('Elec Rates'!AA44-'CS Rates'!AA44)</f>
        <v>0</v>
      </c>
      <c r="AB44">
        <f>kWh!AB44*('Elec Rates'!AB44-'CS Rates'!AB44)</f>
        <v>0</v>
      </c>
      <c r="AC44">
        <f>kWh!AC44*('Elec Rates'!AC44-'CS Rates'!AC44)</f>
        <v>0</v>
      </c>
      <c r="AD44">
        <f>kWh!AD44*('Elec Rates'!AD44-'CS Rates'!AD44)</f>
        <v>0</v>
      </c>
      <c r="AE44">
        <f>kWh!AE44*('Elec Rates'!AE44-'CS Rates'!AE44)</f>
        <v>0</v>
      </c>
      <c r="AF44">
        <f>kWh!AF44*('Elec Rates'!AF44-'CS Rates'!AF44)</f>
        <v>0</v>
      </c>
      <c r="AG44">
        <f>kWh!AG44*('Elec Rates'!AG44-'CS Rates'!AG44)</f>
        <v>0</v>
      </c>
      <c r="AH44">
        <f>kWh!AH44*('Elec Rates'!AH44-'CS Rates'!AH44)</f>
        <v>0</v>
      </c>
      <c r="AI44">
        <f>kWh!AI44*('Elec Rates'!AI44-'CS Rates'!AI44)</f>
        <v>0</v>
      </c>
      <c r="AJ44">
        <f>kWh!AJ44*('Elec Rates'!AJ44-'CS Rates'!AJ44)</f>
        <v>0</v>
      </c>
      <c r="AK44">
        <f>kWh!AK44*('Elec Rates'!AK44-'CS Rates'!AK44)</f>
        <v>0</v>
      </c>
      <c r="AL44">
        <f>kWh!AL44*('Elec Rates'!AL44-'CS Rates'!AL44)</f>
        <v>0</v>
      </c>
      <c r="AM44">
        <f>kWh!AM44*('Elec Rates'!AM44-'CS Rates'!AM44)</f>
        <v>0</v>
      </c>
      <c r="AN44">
        <f>kWh!AN44*('Elec Rates'!AN44-'CS Rates'!AN44)</f>
        <v>0</v>
      </c>
      <c r="AO44">
        <f>kWh!AO44*('Elec Rates'!AO44-'CS Rates'!AO44)</f>
        <v>0</v>
      </c>
      <c r="AP44">
        <f>kWh!AP44*('Elec Rates'!AP44-'CS Rates'!AP44)</f>
        <v>0</v>
      </c>
      <c r="AQ44">
        <f>SUM(B44:AP44)</f>
        <v>4622.9669</v>
      </c>
    </row>
    <row r="45">
      <c r="A45">
        <v>45566</v>
      </c>
      <c r="B45">
        <f>kWh!B45*('Elec Rates'!B45-'CS Rates'!B45)</f>
        <v>337.74719999999996</v>
      </c>
      <c r="C45">
        <f>kWh!C45*('Elec Rates'!C45-'CS Rates'!C45)</f>
        <v>326.20520000000005</v>
      </c>
      <c r="D45">
        <f>kWh!D45*('Elec Rates'!D45-'CS Rates'!D45)</f>
        <v>481.9878</v>
      </c>
      <c r="E45">
        <f>kWh!E45*('Elec Rates'!E45-'CS Rates'!E45)</f>
        <v>549.4056</v>
      </c>
      <c r="F45">
        <f>kWh!F45*('Elec Rates'!F45-'CS Rates'!F45)</f>
        <v>596.1186</v>
      </c>
      <c r="G45">
        <f>kWh!G45*('Elec Rates'!G45-'CS Rates'!G45)</f>
        <v>143.36670000000004</v>
      </c>
      <c r="H45">
        <f>kWh!H45*('Elec Rates'!H45-'CS Rates'!H45)</f>
        <v>877.1388000000002</v>
      </c>
      <c r="I45">
        <f>kWh!I45*('Elec Rates'!I45-'CS Rates'!I45)</f>
        <v>0</v>
      </c>
      <c r="J45">
        <f>kWh!J45*('Elec Rates'!J45-'CS Rates'!J45)</f>
        <v>0</v>
      </c>
      <c r="K45">
        <f>kWh!K45*('Elec Rates'!K45-'CS Rates'!K45)</f>
        <v>0</v>
      </c>
      <c r="L45">
        <f>kWh!L45*('Elec Rates'!L45-'CS Rates'!L45)</f>
        <v>0</v>
      </c>
      <c r="M45">
        <f>kWh!M45*('Elec Rates'!M45-'CS Rates'!M45)</f>
        <v>0</v>
      </c>
      <c r="N45">
        <f>kWh!N45*('Elec Rates'!N45-'CS Rates'!N45)</f>
        <v>0</v>
      </c>
      <c r="O45">
        <f>kWh!O45*('Elec Rates'!O45-'CS Rates'!O45)</f>
        <v>0</v>
      </c>
      <c r="P45">
        <f>kWh!P45*('Elec Rates'!P45-'CS Rates'!P45)</f>
        <v>0</v>
      </c>
      <c r="Q45">
        <f>kWh!Q45*('Elec Rates'!Q45-'CS Rates'!Q45)</f>
        <v>0</v>
      </c>
      <c r="R45">
        <f>kWh!R45*('Elec Rates'!R45-'CS Rates'!R45)</f>
        <v>0</v>
      </c>
      <c r="S45">
        <f>kWh!S45*('Elec Rates'!S45-'CS Rates'!S45)</f>
        <v>0</v>
      </c>
      <c r="T45">
        <f>kWh!T45*('Elec Rates'!T45-'CS Rates'!T45)</f>
        <v>0</v>
      </c>
      <c r="U45">
        <f>kWh!U45*('Elec Rates'!U45-'CS Rates'!U45)</f>
        <v>0</v>
      </c>
      <c r="V45">
        <f>kWh!V45*('Elec Rates'!V45-'CS Rates'!V45)</f>
        <v>0</v>
      </c>
      <c r="W45">
        <f>kWh!W45*('Elec Rates'!W45-'CS Rates'!W45)</f>
        <v>0</v>
      </c>
      <c r="X45">
        <f>kWh!X45*('Elec Rates'!X45-'CS Rates'!X45)</f>
        <v>0</v>
      </c>
      <c r="Y45">
        <f>kWh!Y45*('Elec Rates'!Y45-'CS Rates'!Y45)</f>
        <v>0</v>
      </c>
      <c r="Z45">
        <f>kWh!Z45*('Elec Rates'!Z45-'CS Rates'!Z45)</f>
        <v>0</v>
      </c>
      <c r="AA45">
        <f>kWh!AA45*('Elec Rates'!AA45-'CS Rates'!AA45)</f>
        <v>0</v>
      </c>
      <c r="AB45">
        <f>kWh!AB45*('Elec Rates'!AB45-'CS Rates'!AB45)</f>
        <v>0</v>
      </c>
      <c r="AC45">
        <f>kWh!AC45*('Elec Rates'!AC45-'CS Rates'!AC45)</f>
        <v>0</v>
      </c>
      <c r="AD45">
        <f>kWh!AD45*('Elec Rates'!AD45-'CS Rates'!AD45)</f>
        <v>0</v>
      </c>
      <c r="AE45">
        <f>kWh!AE45*('Elec Rates'!AE45-'CS Rates'!AE45)</f>
        <v>0</v>
      </c>
      <c r="AF45">
        <f>kWh!AF45*('Elec Rates'!AF45-'CS Rates'!AF45)</f>
        <v>0</v>
      </c>
      <c r="AG45">
        <f>kWh!AG45*('Elec Rates'!AG45-'CS Rates'!AG45)</f>
        <v>0</v>
      </c>
      <c r="AH45">
        <f>kWh!AH45*('Elec Rates'!AH45-'CS Rates'!AH45)</f>
        <v>0</v>
      </c>
      <c r="AI45">
        <f>kWh!AI45*('Elec Rates'!AI45-'CS Rates'!AI45)</f>
        <v>0</v>
      </c>
      <c r="AJ45">
        <f>kWh!AJ45*('Elec Rates'!AJ45-'CS Rates'!AJ45)</f>
        <v>0</v>
      </c>
      <c r="AK45">
        <f>kWh!AK45*('Elec Rates'!AK45-'CS Rates'!AK45)</f>
        <v>0</v>
      </c>
      <c r="AL45">
        <f>kWh!AL45*('Elec Rates'!AL45-'CS Rates'!AL45)</f>
        <v>0</v>
      </c>
      <c r="AM45">
        <f>kWh!AM45*('Elec Rates'!AM45-'CS Rates'!AM45)</f>
        <v>0</v>
      </c>
      <c r="AN45">
        <f>kWh!AN45*('Elec Rates'!AN45-'CS Rates'!AN45)</f>
        <v>0</v>
      </c>
      <c r="AO45">
        <f>kWh!AO45*('Elec Rates'!AO45-'CS Rates'!AO45)</f>
        <v>0</v>
      </c>
      <c r="AP45">
        <f>kWh!AP45*('Elec Rates'!AP45-'CS Rates'!AP45)</f>
        <v>0</v>
      </c>
      <c r="AQ45">
        <f>SUM(B45:AP45)</f>
        <v>3311.9699</v>
      </c>
    </row>
    <row r="46">
      <c r="A46">
        <v>45597</v>
      </c>
      <c r="B46">
        <f>kWh!B46*('Elec Rates'!B46-'CS Rates'!B46)</f>
        <v>191.44440000000003</v>
      </c>
      <c r="C46">
        <f>kWh!C46*('Elec Rates'!C46-'CS Rates'!C46)</f>
        <v>172.086</v>
      </c>
      <c r="D46">
        <f>kWh!D46*('Elec Rates'!D46-'CS Rates'!D46)</f>
        <v>232.0164</v>
      </c>
      <c r="E46">
        <f>kWh!E46*('Elec Rates'!E46-'CS Rates'!E46)</f>
        <v>351.2712</v>
      </c>
      <c r="F46">
        <f>kWh!F46*('Elec Rates'!F46-'CS Rates'!F46)</f>
        <v>339.7479</v>
      </c>
      <c r="G46">
        <f>kWh!G46*('Elec Rates'!G46-'CS Rates'!G46)</f>
        <v>77.83020000000002</v>
      </c>
      <c r="H46">
        <f>kWh!H46*('Elec Rates'!H46-'CS Rates'!H46)</f>
        <v>475.6675</v>
      </c>
      <c r="I46">
        <f>kWh!I46*('Elec Rates'!I46-'CS Rates'!I46)</f>
        <v>0</v>
      </c>
      <c r="J46">
        <f>kWh!J46*('Elec Rates'!J46-'CS Rates'!J46)</f>
        <v>0</v>
      </c>
      <c r="K46">
        <f>kWh!K46*('Elec Rates'!K46-'CS Rates'!K46)</f>
        <v>0</v>
      </c>
      <c r="L46">
        <f>kWh!L46*('Elec Rates'!L46-'CS Rates'!L46)</f>
        <v>0</v>
      </c>
      <c r="M46">
        <f>kWh!M46*('Elec Rates'!M46-'CS Rates'!M46)</f>
        <v>0</v>
      </c>
      <c r="N46">
        <f>kWh!N46*('Elec Rates'!N46-'CS Rates'!N46)</f>
        <v>0</v>
      </c>
      <c r="O46">
        <f>kWh!O46*('Elec Rates'!O46-'CS Rates'!O46)</f>
        <v>0</v>
      </c>
      <c r="P46">
        <f>kWh!P46*('Elec Rates'!P46-'CS Rates'!P46)</f>
        <v>0</v>
      </c>
      <c r="Q46">
        <f>kWh!Q46*('Elec Rates'!Q46-'CS Rates'!Q46)</f>
        <v>0</v>
      </c>
      <c r="R46">
        <f>kWh!R46*('Elec Rates'!R46-'CS Rates'!R46)</f>
        <v>0</v>
      </c>
      <c r="S46">
        <f>kWh!S46*('Elec Rates'!S46-'CS Rates'!S46)</f>
        <v>0</v>
      </c>
      <c r="T46">
        <f>kWh!T46*('Elec Rates'!T46-'CS Rates'!T46)</f>
        <v>0</v>
      </c>
      <c r="U46">
        <f>kWh!U46*('Elec Rates'!U46-'CS Rates'!U46)</f>
        <v>0</v>
      </c>
      <c r="V46">
        <f>kWh!V46*('Elec Rates'!V46-'CS Rates'!V46)</f>
        <v>0</v>
      </c>
      <c r="W46">
        <f>kWh!W46*('Elec Rates'!W46-'CS Rates'!W46)</f>
        <v>0</v>
      </c>
      <c r="X46">
        <f>kWh!X46*('Elec Rates'!X46-'CS Rates'!X46)</f>
        <v>0</v>
      </c>
      <c r="Y46">
        <f>kWh!Y46*('Elec Rates'!Y46-'CS Rates'!Y46)</f>
        <v>0</v>
      </c>
      <c r="Z46">
        <f>kWh!Z46*('Elec Rates'!Z46-'CS Rates'!Z46)</f>
        <v>0</v>
      </c>
      <c r="AA46">
        <f>kWh!AA46*('Elec Rates'!AA46-'CS Rates'!AA46)</f>
        <v>0</v>
      </c>
      <c r="AB46">
        <f>kWh!AB46*('Elec Rates'!AB46-'CS Rates'!AB46)</f>
        <v>0</v>
      </c>
      <c r="AC46">
        <f>kWh!AC46*('Elec Rates'!AC46-'CS Rates'!AC46)</f>
        <v>0</v>
      </c>
      <c r="AD46">
        <f>kWh!AD46*('Elec Rates'!AD46-'CS Rates'!AD46)</f>
        <v>0</v>
      </c>
      <c r="AE46">
        <f>kWh!AE46*('Elec Rates'!AE46-'CS Rates'!AE46)</f>
        <v>0</v>
      </c>
      <c r="AF46">
        <f>kWh!AF46*('Elec Rates'!AF46-'CS Rates'!AF46)</f>
        <v>0</v>
      </c>
      <c r="AG46">
        <f>kWh!AG46*('Elec Rates'!AG46-'CS Rates'!AG46)</f>
        <v>0</v>
      </c>
      <c r="AH46">
        <f>kWh!AH46*('Elec Rates'!AH46-'CS Rates'!AH46)</f>
        <v>0</v>
      </c>
      <c r="AI46">
        <f>kWh!AI46*('Elec Rates'!AI46-'CS Rates'!AI46)</f>
        <v>0</v>
      </c>
      <c r="AJ46">
        <f>kWh!AJ46*('Elec Rates'!AJ46-'CS Rates'!AJ46)</f>
        <v>0</v>
      </c>
      <c r="AK46">
        <f>kWh!AK46*('Elec Rates'!AK46-'CS Rates'!AK46)</f>
        <v>0</v>
      </c>
      <c r="AL46">
        <f>kWh!AL46*('Elec Rates'!AL46-'CS Rates'!AL46)</f>
        <v>0</v>
      </c>
      <c r="AM46">
        <f>kWh!AM46*('Elec Rates'!AM46-'CS Rates'!AM46)</f>
        <v>0</v>
      </c>
      <c r="AN46">
        <f>kWh!AN46*('Elec Rates'!AN46-'CS Rates'!AN46)</f>
        <v>0</v>
      </c>
      <c r="AO46">
        <f>kWh!AO46*('Elec Rates'!AO46-'CS Rates'!AO46)</f>
        <v>0</v>
      </c>
      <c r="AP46">
        <f>kWh!AP46*('Elec Rates'!AP46-'CS Rates'!AP46)</f>
        <v>0</v>
      </c>
      <c r="AQ46">
        <f>SUM(B46:AP46)</f>
        <v>1840.0636000000002</v>
      </c>
    </row>
    <row r="47">
      <c r="A47">
        <v>45627</v>
      </c>
      <c r="B47">
        <f>kWh!B47*('Elec Rates'!B47-'CS Rates'!B47)</f>
        <v>156.6208</v>
      </c>
      <c r="C47">
        <f>kWh!C47*('Elec Rates'!C47-'CS Rates'!C47)</f>
        <v>197.54680000000005</v>
      </c>
      <c r="D47">
        <f>kWh!D47*('Elec Rates'!D47-'CS Rates'!D47)</f>
        <v>346.66239999999993</v>
      </c>
      <c r="E47">
        <f>kWh!E47*('Elec Rates'!E47-'CS Rates'!E47)</f>
        <v>269.24799999999993</v>
      </c>
      <c r="F47">
        <f>kWh!F47*('Elec Rates'!F47-'CS Rates'!F47)</f>
        <v>275.4576</v>
      </c>
      <c r="G47">
        <f>kWh!G47*('Elec Rates'!G47-'CS Rates'!G47)</f>
        <v>100.66239999999999</v>
      </c>
      <c r="H47">
        <f>kWh!H47*('Elec Rates'!H47-'CS Rates'!H47)</f>
        <v>543.647</v>
      </c>
      <c r="I47">
        <f>kWh!I47*('Elec Rates'!I47-'CS Rates'!I47)</f>
        <v>0</v>
      </c>
      <c r="J47">
        <f>kWh!J47*('Elec Rates'!J47-'CS Rates'!J47)</f>
        <v>0</v>
      </c>
      <c r="K47">
        <f>kWh!K47*('Elec Rates'!K47-'CS Rates'!K47)</f>
        <v>0</v>
      </c>
      <c r="L47">
        <f>kWh!L47*('Elec Rates'!L47-'CS Rates'!L47)</f>
        <v>0</v>
      </c>
      <c r="M47">
        <f>kWh!M47*('Elec Rates'!M47-'CS Rates'!M47)</f>
        <v>0</v>
      </c>
      <c r="N47">
        <f>kWh!N47*('Elec Rates'!N47-'CS Rates'!N47)</f>
        <v>0</v>
      </c>
      <c r="O47">
        <f>kWh!O47*('Elec Rates'!O47-'CS Rates'!O47)</f>
        <v>0</v>
      </c>
      <c r="P47">
        <f>kWh!P47*('Elec Rates'!P47-'CS Rates'!P47)</f>
        <v>0</v>
      </c>
      <c r="Q47">
        <f>kWh!Q47*('Elec Rates'!Q47-'CS Rates'!Q47)</f>
        <v>0</v>
      </c>
      <c r="R47">
        <f>kWh!R47*('Elec Rates'!R47-'CS Rates'!R47)</f>
        <v>0</v>
      </c>
      <c r="S47">
        <f>kWh!S47*('Elec Rates'!S47-'CS Rates'!S47)</f>
        <v>0</v>
      </c>
      <c r="T47">
        <f>kWh!T47*('Elec Rates'!T47-'CS Rates'!T47)</f>
        <v>0</v>
      </c>
      <c r="U47">
        <f>kWh!U47*('Elec Rates'!U47-'CS Rates'!U47)</f>
        <v>0</v>
      </c>
      <c r="V47">
        <f>kWh!V47*('Elec Rates'!V47-'CS Rates'!V47)</f>
        <v>0</v>
      </c>
      <c r="W47">
        <f>kWh!W47*('Elec Rates'!W47-'CS Rates'!W47)</f>
        <v>0</v>
      </c>
      <c r="X47">
        <f>kWh!X47*('Elec Rates'!X47-'CS Rates'!X47)</f>
        <v>0</v>
      </c>
      <c r="Y47">
        <f>kWh!Y47*('Elec Rates'!Y47-'CS Rates'!Y47)</f>
        <v>0</v>
      </c>
      <c r="Z47">
        <f>kWh!Z47*('Elec Rates'!Z47-'CS Rates'!Z47)</f>
        <v>0</v>
      </c>
      <c r="AA47">
        <f>kWh!AA47*('Elec Rates'!AA47-'CS Rates'!AA47)</f>
        <v>0</v>
      </c>
      <c r="AB47">
        <f>kWh!AB47*('Elec Rates'!AB47-'CS Rates'!AB47)</f>
        <v>0</v>
      </c>
      <c r="AC47">
        <f>kWh!AC47*('Elec Rates'!AC47-'CS Rates'!AC47)</f>
        <v>0</v>
      </c>
      <c r="AD47">
        <f>kWh!AD47*('Elec Rates'!AD47-'CS Rates'!AD47)</f>
        <v>0</v>
      </c>
      <c r="AE47">
        <f>kWh!AE47*('Elec Rates'!AE47-'CS Rates'!AE47)</f>
        <v>0</v>
      </c>
      <c r="AF47">
        <f>kWh!AF47*('Elec Rates'!AF47-'CS Rates'!AF47)</f>
        <v>0</v>
      </c>
      <c r="AG47">
        <f>kWh!AG47*('Elec Rates'!AG47-'CS Rates'!AG47)</f>
        <v>0</v>
      </c>
      <c r="AH47">
        <f>kWh!AH47*('Elec Rates'!AH47-'CS Rates'!AH47)</f>
        <v>0</v>
      </c>
      <c r="AI47">
        <f>kWh!AI47*('Elec Rates'!AI47-'CS Rates'!AI47)</f>
        <v>0</v>
      </c>
      <c r="AJ47">
        <f>kWh!AJ47*('Elec Rates'!AJ47-'CS Rates'!AJ47)</f>
        <v>0</v>
      </c>
      <c r="AK47">
        <f>kWh!AK47*('Elec Rates'!AK47-'CS Rates'!AK47)</f>
        <v>0</v>
      </c>
      <c r="AL47">
        <f>kWh!AL47*('Elec Rates'!AL47-'CS Rates'!AL47)</f>
        <v>0</v>
      </c>
      <c r="AM47">
        <f>kWh!AM47*('Elec Rates'!AM47-'CS Rates'!AM47)</f>
        <v>0</v>
      </c>
      <c r="AN47">
        <f>kWh!AN47*('Elec Rates'!AN47-'CS Rates'!AN47)</f>
        <v>0</v>
      </c>
      <c r="AO47">
        <f>kWh!AO47*('Elec Rates'!AO47-'CS Rates'!AO47)</f>
        <v>0</v>
      </c>
      <c r="AP47">
        <f>kWh!AP47*('Elec Rates'!AP47-'CS Rates'!AP47)</f>
        <v>0</v>
      </c>
      <c r="AQ47">
        <f>SUM(B47:AP47)</f>
        <v>1889.8449999999998</v>
      </c>
    </row>
    <row r="48">
      <c r="A48">
        <v>45658</v>
      </c>
      <c r="B48">
        <f>kWh!B48*('Elec Rates'!B48-'CS Rates'!B48)</f>
        <v>177.0816</v>
      </c>
      <c r="C48">
        <f>kWh!C48*('Elec Rates'!C48-'CS Rates'!C48)</f>
        <v>202.66160000000002</v>
      </c>
      <c r="D48">
        <f>kWh!D48*('Elec Rates'!D48-'CS Rates'!D48)</f>
        <v>353.98819999999995</v>
      </c>
      <c r="E48">
        <f>kWh!E48*('Elec Rates'!E48-'CS Rates'!E48)</f>
        <v>310.02639999999997</v>
      </c>
      <c r="F48">
        <f>kWh!F48*('Elec Rates'!F48-'CS Rates'!F48)</f>
        <v>225.90720000000002</v>
      </c>
      <c r="G48">
        <f>kWh!G48*('Elec Rates'!G48-'CS Rates'!G48)</f>
        <v>97.71999999999998</v>
      </c>
      <c r="H48">
        <f>kWh!H48*('Elec Rates'!H48-'CS Rates'!H48)</f>
        <v>657.4078000000002</v>
      </c>
      <c r="I48">
        <f>kWh!I48*('Elec Rates'!I48-'CS Rates'!I48)</f>
        <v>0</v>
      </c>
      <c r="J48">
        <f>kWh!J48*('Elec Rates'!J48-'CS Rates'!J48)</f>
        <v>0</v>
      </c>
      <c r="K48">
        <f>kWh!K48*('Elec Rates'!K48-'CS Rates'!K48)</f>
        <v>0</v>
      </c>
      <c r="L48">
        <f>kWh!L48*('Elec Rates'!L48-'CS Rates'!L48)</f>
        <v>0</v>
      </c>
      <c r="M48">
        <f>kWh!M48*('Elec Rates'!M48-'CS Rates'!M48)</f>
        <v>0</v>
      </c>
      <c r="N48">
        <f>kWh!N48*('Elec Rates'!N48-'CS Rates'!N48)</f>
        <v>0</v>
      </c>
      <c r="O48">
        <f>kWh!O48*('Elec Rates'!O48-'CS Rates'!O48)</f>
        <v>0</v>
      </c>
      <c r="P48">
        <f>kWh!P48*('Elec Rates'!P48-'CS Rates'!P48)</f>
        <v>0</v>
      </c>
      <c r="Q48">
        <f>kWh!Q48*('Elec Rates'!Q48-'CS Rates'!Q48)</f>
        <v>0</v>
      </c>
      <c r="R48">
        <f>kWh!R48*('Elec Rates'!R48-'CS Rates'!R48)</f>
        <v>0</v>
      </c>
      <c r="S48">
        <f>kWh!S48*('Elec Rates'!S48-'CS Rates'!S48)</f>
        <v>0</v>
      </c>
      <c r="T48">
        <f>kWh!T48*('Elec Rates'!T48-'CS Rates'!T48)</f>
        <v>0</v>
      </c>
      <c r="U48">
        <f>kWh!U48*('Elec Rates'!U48-'CS Rates'!U48)</f>
        <v>0</v>
      </c>
      <c r="V48">
        <f>kWh!V48*('Elec Rates'!V48-'CS Rates'!V48)</f>
        <v>0</v>
      </c>
      <c r="W48">
        <f>kWh!W48*('Elec Rates'!W48-'CS Rates'!W48)</f>
        <v>0</v>
      </c>
      <c r="X48">
        <f>kWh!X48*('Elec Rates'!X48-'CS Rates'!X48)</f>
        <v>0</v>
      </c>
      <c r="Y48">
        <f>kWh!Y48*('Elec Rates'!Y48-'CS Rates'!Y48)</f>
        <v>0</v>
      </c>
      <c r="Z48">
        <f>kWh!Z48*('Elec Rates'!Z48-'CS Rates'!Z48)</f>
        <v>0</v>
      </c>
      <c r="AA48">
        <f>kWh!AA48*('Elec Rates'!AA48-'CS Rates'!AA48)</f>
        <v>0</v>
      </c>
      <c r="AB48">
        <f>kWh!AB48*('Elec Rates'!AB48-'CS Rates'!AB48)</f>
        <v>0</v>
      </c>
      <c r="AC48">
        <f>kWh!AC48*('Elec Rates'!AC48-'CS Rates'!AC48)</f>
        <v>0</v>
      </c>
      <c r="AD48">
        <f>kWh!AD48*('Elec Rates'!AD48-'CS Rates'!AD48)</f>
        <v>0</v>
      </c>
      <c r="AE48">
        <f>kWh!AE48*('Elec Rates'!AE48-'CS Rates'!AE48)</f>
        <v>0</v>
      </c>
      <c r="AF48">
        <f>kWh!AF48*('Elec Rates'!AF48-'CS Rates'!AF48)</f>
        <v>0</v>
      </c>
      <c r="AG48">
        <f>kWh!AG48*('Elec Rates'!AG48-'CS Rates'!AG48)</f>
        <v>0</v>
      </c>
      <c r="AH48">
        <f>kWh!AH48*('Elec Rates'!AH48-'CS Rates'!AH48)</f>
        <v>0</v>
      </c>
      <c r="AI48">
        <f>kWh!AI48*('Elec Rates'!AI48-'CS Rates'!AI48)</f>
        <v>0</v>
      </c>
      <c r="AJ48">
        <f>kWh!AJ48*('Elec Rates'!AJ48-'CS Rates'!AJ48)</f>
        <v>0</v>
      </c>
      <c r="AK48">
        <f>kWh!AK48*('Elec Rates'!AK48-'CS Rates'!AK48)</f>
        <v>0</v>
      </c>
      <c r="AL48">
        <f>kWh!AL48*('Elec Rates'!AL48-'CS Rates'!AL48)</f>
        <v>0</v>
      </c>
      <c r="AM48">
        <f>kWh!AM48*('Elec Rates'!AM48-'CS Rates'!AM48)</f>
        <v>0</v>
      </c>
      <c r="AN48">
        <f>kWh!AN48*('Elec Rates'!AN48-'CS Rates'!AN48)</f>
        <v>0</v>
      </c>
      <c r="AO48">
        <f>kWh!AO48*('Elec Rates'!AO48-'CS Rates'!AO48)</f>
        <v>0</v>
      </c>
      <c r="AP48">
        <f>kWh!AP48*('Elec Rates'!AP48-'CS Rates'!AP48)</f>
        <v>0</v>
      </c>
      <c r="AQ48">
        <f>SUM(B48:AP48)</f>
        <v>2024.7928000000002</v>
      </c>
    </row>
    <row r="49">
      <c r="A49">
        <v>45689</v>
      </c>
      <c r="B49">
        <f>kWh!B49*('Elec Rates'!B49-'CS Rates'!B49)</f>
        <v>292.5648</v>
      </c>
      <c r="C49">
        <f>kWh!C49*('Elec Rates'!C49-'CS Rates'!C49)</f>
        <v>281.91599999999994</v>
      </c>
      <c r="D49">
        <f>kWh!D49*('Elec Rates'!D49-'CS Rates'!D49)</f>
        <v>422.15039999999993</v>
      </c>
      <c r="E49">
        <f>kWh!E49*('Elec Rates'!E49-'CS Rates'!E49)</f>
        <v>414.1476</v>
      </c>
      <c r="F49">
        <f>kWh!F49*('Elec Rates'!F49-'CS Rates'!F49)</f>
        <v>417.80959999999993</v>
      </c>
      <c r="G49">
        <f>kWh!G49*('Elec Rates'!G49-'CS Rates'!G49)</f>
        <v>114.80559999999998</v>
      </c>
      <c r="H49">
        <f>kWh!H49*('Elec Rates'!H49-'CS Rates'!H49)</f>
        <v>700.5306000000002</v>
      </c>
      <c r="I49">
        <f>kWh!I49*('Elec Rates'!I49-'CS Rates'!I49)</f>
        <v>0</v>
      </c>
      <c r="J49">
        <f>kWh!J49*('Elec Rates'!J49-'CS Rates'!J49)</f>
        <v>0</v>
      </c>
      <c r="K49">
        <f>kWh!K49*('Elec Rates'!K49-'CS Rates'!K49)</f>
        <v>0</v>
      </c>
      <c r="L49">
        <f>kWh!L49*('Elec Rates'!L49-'CS Rates'!L49)</f>
        <v>0</v>
      </c>
      <c r="M49">
        <f>kWh!M49*('Elec Rates'!M49-'CS Rates'!M49)</f>
        <v>0</v>
      </c>
      <c r="N49">
        <f>kWh!N49*('Elec Rates'!N49-'CS Rates'!N49)</f>
        <v>0</v>
      </c>
      <c r="O49">
        <f>kWh!O49*('Elec Rates'!O49-'CS Rates'!O49)</f>
        <v>0</v>
      </c>
      <c r="P49">
        <f>kWh!P49*('Elec Rates'!P49-'CS Rates'!P49)</f>
        <v>0</v>
      </c>
      <c r="Q49">
        <f>kWh!Q49*('Elec Rates'!Q49-'CS Rates'!Q49)</f>
        <v>0</v>
      </c>
      <c r="R49">
        <f>kWh!R49*('Elec Rates'!R49-'CS Rates'!R49)</f>
        <v>0</v>
      </c>
      <c r="S49">
        <f>kWh!S49*('Elec Rates'!S49-'CS Rates'!S49)</f>
        <v>0</v>
      </c>
      <c r="T49">
        <f>kWh!T49*('Elec Rates'!T49-'CS Rates'!T49)</f>
        <v>0</v>
      </c>
      <c r="U49">
        <f>kWh!U49*('Elec Rates'!U49-'CS Rates'!U49)</f>
        <v>0</v>
      </c>
      <c r="V49">
        <f>kWh!V49*('Elec Rates'!V49-'CS Rates'!V49)</f>
        <v>0</v>
      </c>
      <c r="W49">
        <f>kWh!W49*('Elec Rates'!W49-'CS Rates'!W49)</f>
        <v>0</v>
      </c>
      <c r="X49">
        <f>kWh!X49*('Elec Rates'!X49-'CS Rates'!X49)</f>
        <v>0</v>
      </c>
      <c r="Y49">
        <f>kWh!Y49*('Elec Rates'!Y49-'CS Rates'!Y49)</f>
        <v>0</v>
      </c>
      <c r="Z49">
        <f>kWh!Z49*('Elec Rates'!Z49-'CS Rates'!Z49)</f>
        <v>0</v>
      </c>
      <c r="AA49">
        <f>kWh!AA49*('Elec Rates'!AA49-'CS Rates'!AA49)</f>
        <v>0</v>
      </c>
      <c r="AB49">
        <f>kWh!AB49*('Elec Rates'!AB49-'CS Rates'!AB49)</f>
        <v>0</v>
      </c>
      <c r="AC49">
        <f>kWh!AC49*('Elec Rates'!AC49-'CS Rates'!AC49)</f>
        <v>0</v>
      </c>
      <c r="AD49">
        <f>kWh!AD49*('Elec Rates'!AD49-'CS Rates'!AD49)</f>
        <v>0</v>
      </c>
      <c r="AE49">
        <f>kWh!AE49*('Elec Rates'!AE49-'CS Rates'!AE49)</f>
        <v>0</v>
      </c>
      <c r="AF49">
        <f>kWh!AF49*('Elec Rates'!AF49-'CS Rates'!AF49)</f>
        <v>0</v>
      </c>
      <c r="AG49">
        <f>kWh!AG49*('Elec Rates'!AG49-'CS Rates'!AG49)</f>
        <v>0</v>
      </c>
      <c r="AH49">
        <f>kWh!AH49*('Elec Rates'!AH49-'CS Rates'!AH49)</f>
        <v>0</v>
      </c>
      <c r="AI49">
        <f>kWh!AI49*('Elec Rates'!AI49-'CS Rates'!AI49)</f>
        <v>0</v>
      </c>
      <c r="AJ49">
        <f>kWh!AJ49*('Elec Rates'!AJ49-'CS Rates'!AJ49)</f>
        <v>0</v>
      </c>
      <c r="AK49">
        <f>kWh!AK49*('Elec Rates'!AK49-'CS Rates'!AK49)</f>
        <v>0</v>
      </c>
      <c r="AL49">
        <f>kWh!AL49*('Elec Rates'!AL49-'CS Rates'!AL49)</f>
        <v>0</v>
      </c>
      <c r="AM49">
        <f>kWh!AM49*('Elec Rates'!AM49-'CS Rates'!AM49)</f>
        <v>0</v>
      </c>
      <c r="AN49">
        <f>kWh!AN49*('Elec Rates'!AN49-'CS Rates'!AN49)</f>
        <v>0</v>
      </c>
      <c r="AO49">
        <f>kWh!AO49*('Elec Rates'!AO49-'CS Rates'!AO49)</f>
        <v>0</v>
      </c>
      <c r="AP49">
        <f>kWh!AP49*('Elec Rates'!AP49-'CS Rates'!AP49)</f>
        <v>0</v>
      </c>
      <c r="AQ49">
        <f>SUM(B49:AP49)</f>
        <v>2643.9246</v>
      </c>
    </row>
    <row r="50">
      <c r="A50">
        <v>45717</v>
      </c>
      <c r="B50">
        <f>kWh!B50*('Elec Rates'!B50-'CS Rates'!B50)</f>
        <v>443.2672</v>
      </c>
      <c r="C50">
        <f>kWh!C50*('Elec Rates'!C50-'CS Rates'!C50)</f>
        <v>436.58099999999996</v>
      </c>
      <c r="D50">
        <f>kWh!D50*('Elec Rates'!D50-'CS Rates'!D50)</f>
        <v>557.3280000000001</v>
      </c>
      <c r="E50">
        <f>kWh!E50*('Elec Rates'!E50-'CS Rates'!E50)</f>
        <v>624.7024</v>
      </c>
      <c r="F50">
        <f>kWh!F50*('Elec Rates'!F50-'CS Rates'!F50)</f>
        <v>628.1772</v>
      </c>
      <c r="G50">
        <f>kWh!G50*('Elec Rates'!G50-'CS Rates'!G50)</f>
        <v>162.48599999999996</v>
      </c>
      <c r="H50">
        <f>kWh!H50*('Elec Rates'!H50-'CS Rates'!H50)</f>
        <v>1072.3167999999998</v>
      </c>
      <c r="I50">
        <f>kWh!I50*('Elec Rates'!I50-'CS Rates'!I50)</f>
        <v>0</v>
      </c>
      <c r="J50">
        <f>kWh!J50*('Elec Rates'!J50-'CS Rates'!J50)</f>
        <v>0</v>
      </c>
      <c r="K50">
        <f>kWh!K50*('Elec Rates'!K50-'CS Rates'!K50)</f>
        <v>0</v>
      </c>
      <c r="L50">
        <f>kWh!L50*('Elec Rates'!L50-'CS Rates'!L50)</f>
        <v>0</v>
      </c>
      <c r="M50">
        <f>kWh!M50*('Elec Rates'!M50-'CS Rates'!M50)</f>
        <v>0</v>
      </c>
      <c r="N50">
        <f>kWh!N50*('Elec Rates'!N50-'CS Rates'!N50)</f>
        <v>0</v>
      </c>
      <c r="O50">
        <f>kWh!O50*('Elec Rates'!O50-'CS Rates'!O50)</f>
        <v>0</v>
      </c>
      <c r="P50">
        <f>kWh!P50*('Elec Rates'!P50-'CS Rates'!P50)</f>
        <v>0</v>
      </c>
      <c r="Q50">
        <f>kWh!Q50*('Elec Rates'!Q50-'CS Rates'!Q50)</f>
        <v>0</v>
      </c>
      <c r="R50">
        <f>kWh!R50*('Elec Rates'!R50-'CS Rates'!R50)</f>
        <v>0</v>
      </c>
      <c r="S50">
        <f>kWh!S50*('Elec Rates'!S50-'CS Rates'!S50)</f>
        <v>0</v>
      </c>
      <c r="T50">
        <f>kWh!T50*('Elec Rates'!T50-'CS Rates'!T50)</f>
        <v>0</v>
      </c>
      <c r="U50">
        <f>kWh!U50*('Elec Rates'!U50-'CS Rates'!U50)</f>
        <v>0</v>
      </c>
      <c r="V50">
        <f>kWh!V50*('Elec Rates'!V50-'CS Rates'!V50)</f>
        <v>0</v>
      </c>
      <c r="W50">
        <f>kWh!W50*('Elec Rates'!W50-'CS Rates'!W50)</f>
        <v>0</v>
      </c>
      <c r="X50">
        <f>kWh!X50*('Elec Rates'!X50-'CS Rates'!X50)</f>
        <v>0</v>
      </c>
      <c r="Y50">
        <f>kWh!Y50*('Elec Rates'!Y50-'CS Rates'!Y50)</f>
        <v>0</v>
      </c>
      <c r="Z50">
        <f>kWh!Z50*('Elec Rates'!Z50-'CS Rates'!Z50)</f>
        <v>0</v>
      </c>
      <c r="AA50">
        <f>kWh!AA50*('Elec Rates'!AA50-'CS Rates'!AA50)</f>
        <v>0</v>
      </c>
      <c r="AB50">
        <f>kWh!AB50*('Elec Rates'!AB50-'CS Rates'!AB50)</f>
        <v>0</v>
      </c>
      <c r="AC50">
        <f>kWh!AC50*('Elec Rates'!AC50-'CS Rates'!AC50)</f>
        <v>0</v>
      </c>
      <c r="AD50">
        <f>kWh!AD50*('Elec Rates'!AD50-'CS Rates'!AD50)</f>
        <v>0</v>
      </c>
      <c r="AE50">
        <f>kWh!AE50*('Elec Rates'!AE50-'CS Rates'!AE50)</f>
        <v>0</v>
      </c>
      <c r="AF50">
        <f>kWh!AF50*('Elec Rates'!AF50-'CS Rates'!AF50)</f>
        <v>0</v>
      </c>
      <c r="AG50">
        <f>kWh!AG50*('Elec Rates'!AG50-'CS Rates'!AG50)</f>
        <v>0</v>
      </c>
      <c r="AH50">
        <f>kWh!AH50*('Elec Rates'!AH50-'CS Rates'!AH50)</f>
        <v>0</v>
      </c>
      <c r="AI50">
        <f>kWh!AI50*('Elec Rates'!AI50-'CS Rates'!AI50)</f>
        <v>0</v>
      </c>
      <c r="AJ50">
        <f>kWh!AJ50*('Elec Rates'!AJ50-'CS Rates'!AJ50)</f>
        <v>0</v>
      </c>
      <c r="AK50">
        <f>kWh!AK50*('Elec Rates'!AK50-'CS Rates'!AK50)</f>
        <v>0</v>
      </c>
      <c r="AL50">
        <f>kWh!AL50*('Elec Rates'!AL50-'CS Rates'!AL50)</f>
        <v>0</v>
      </c>
      <c r="AM50">
        <f>kWh!AM50*('Elec Rates'!AM50-'CS Rates'!AM50)</f>
        <v>0</v>
      </c>
      <c r="AN50">
        <f>kWh!AN50*('Elec Rates'!AN50-'CS Rates'!AN50)</f>
        <v>0</v>
      </c>
      <c r="AO50">
        <f>kWh!AO50*('Elec Rates'!AO50-'CS Rates'!AO50)</f>
        <v>0</v>
      </c>
      <c r="AP50">
        <f>kWh!AP50*('Elec Rates'!AP50-'CS Rates'!AP50)</f>
        <v>0</v>
      </c>
      <c r="AQ50">
        <f>SUM(B50:AP50)</f>
        <v>3924.8585999999996</v>
      </c>
    </row>
    <row r="51">
      <c r="A51">
        <v>45748</v>
      </c>
      <c r="B51">
        <f>kWh!B51*('Elec Rates'!B51-'CS Rates'!B51)</f>
        <v>426.378</v>
      </c>
      <c r="C51">
        <f>kWh!C51*('Elec Rates'!C51-'CS Rates'!C51)</f>
        <v>349.46319999999986</v>
      </c>
      <c r="D51">
        <f>kWh!D51*('Elec Rates'!D51-'CS Rates'!D51)</f>
        <v>576.4748</v>
      </c>
      <c r="E51">
        <f>kWh!E51*('Elec Rates'!E51-'CS Rates'!E51)</f>
        <v>759.6989999999998</v>
      </c>
      <c r="F51">
        <f>kWh!F51*('Elec Rates'!F51-'CS Rates'!F51)</f>
        <v>692.1719999999999</v>
      </c>
      <c r="G51">
        <f>kWh!G51*('Elec Rates'!G51-'CS Rates'!G51)</f>
        <v>144.30300000000003</v>
      </c>
      <c r="H51">
        <f>kWh!H51*('Elec Rates'!H51-'CS Rates'!H51)</f>
        <v>956.8836000000001</v>
      </c>
      <c r="I51">
        <f>kWh!I51*('Elec Rates'!I51-'CS Rates'!I51)</f>
        <v>0</v>
      </c>
      <c r="J51">
        <f>kWh!J51*('Elec Rates'!J51-'CS Rates'!J51)</f>
        <v>0</v>
      </c>
      <c r="K51">
        <f>kWh!K51*('Elec Rates'!K51-'CS Rates'!K51)</f>
        <v>0</v>
      </c>
      <c r="L51">
        <f>kWh!L51*('Elec Rates'!L51-'CS Rates'!L51)</f>
        <v>0</v>
      </c>
      <c r="M51">
        <f>kWh!M51*('Elec Rates'!M51-'CS Rates'!M51)</f>
        <v>0</v>
      </c>
      <c r="N51">
        <f>kWh!N51*('Elec Rates'!N51-'CS Rates'!N51)</f>
        <v>0</v>
      </c>
      <c r="O51">
        <f>kWh!O51*('Elec Rates'!O51-'CS Rates'!O51)</f>
        <v>0</v>
      </c>
      <c r="P51">
        <f>kWh!P51*('Elec Rates'!P51-'CS Rates'!P51)</f>
        <v>0</v>
      </c>
      <c r="Q51">
        <f>kWh!Q51*('Elec Rates'!Q51-'CS Rates'!Q51)</f>
        <v>0</v>
      </c>
      <c r="R51">
        <f>kWh!R51*('Elec Rates'!R51-'CS Rates'!R51)</f>
        <v>0</v>
      </c>
      <c r="S51">
        <f>kWh!S51*('Elec Rates'!S51-'CS Rates'!S51)</f>
        <v>0</v>
      </c>
      <c r="T51">
        <f>kWh!T51*('Elec Rates'!T51-'CS Rates'!T51)</f>
        <v>0</v>
      </c>
      <c r="U51">
        <f>kWh!U51*('Elec Rates'!U51-'CS Rates'!U51)</f>
        <v>0</v>
      </c>
      <c r="V51">
        <f>kWh!V51*('Elec Rates'!V51-'CS Rates'!V51)</f>
        <v>0</v>
      </c>
      <c r="W51">
        <f>kWh!W51*('Elec Rates'!W51-'CS Rates'!W51)</f>
        <v>0</v>
      </c>
      <c r="X51">
        <f>kWh!X51*('Elec Rates'!X51-'CS Rates'!X51)</f>
        <v>0</v>
      </c>
      <c r="Y51">
        <f>kWh!Y51*('Elec Rates'!Y51-'CS Rates'!Y51)</f>
        <v>0</v>
      </c>
      <c r="Z51">
        <f>kWh!Z51*('Elec Rates'!Z51-'CS Rates'!Z51)</f>
        <v>0</v>
      </c>
      <c r="AA51">
        <f>kWh!AA51*('Elec Rates'!AA51-'CS Rates'!AA51)</f>
        <v>0</v>
      </c>
      <c r="AB51">
        <f>kWh!AB51*('Elec Rates'!AB51-'CS Rates'!AB51)</f>
        <v>0</v>
      </c>
      <c r="AC51">
        <f>kWh!AC51*('Elec Rates'!AC51-'CS Rates'!AC51)</f>
        <v>0</v>
      </c>
      <c r="AD51">
        <f>kWh!AD51*('Elec Rates'!AD51-'CS Rates'!AD51)</f>
        <v>0</v>
      </c>
      <c r="AE51">
        <f>kWh!AE51*('Elec Rates'!AE51-'CS Rates'!AE51)</f>
        <v>0</v>
      </c>
      <c r="AF51">
        <f>kWh!AF51*('Elec Rates'!AF51-'CS Rates'!AF51)</f>
        <v>0</v>
      </c>
      <c r="AG51">
        <f>kWh!AG51*('Elec Rates'!AG51-'CS Rates'!AG51)</f>
        <v>0</v>
      </c>
      <c r="AH51">
        <f>kWh!AH51*('Elec Rates'!AH51-'CS Rates'!AH51)</f>
        <v>0</v>
      </c>
      <c r="AI51">
        <f>kWh!AI51*('Elec Rates'!AI51-'CS Rates'!AI51)</f>
        <v>0</v>
      </c>
      <c r="AJ51">
        <f>kWh!AJ51*('Elec Rates'!AJ51-'CS Rates'!AJ51)</f>
        <v>0</v>
      </c>
      <c r="AK51">
        <f>kWh!AK51*('Elec Rates'!AK51-'CS Rates'!AK51)</f>
        <v>0</v>
      </c>
      <c r="AL51">
        <f>kWh!AL51*('Elec Rates'!AL51-'CS Rates'!AL51)</f>
        <v>0</v>
      </c>
      <c r="AM51">
        <f>kWh!AM51*('Elec Rates'!AM51-'CS Rates'!AM51)</f>
        <v>0</v>
      </c>
      <c r="AN51">
        <f>kWh!AN51*('Elec Rates'!AN51-'CS Rates'!AN51)</f>
        <v>0</v>
      </c>
      <c r="AO51">
        <f>kWh!AO51*('Elec Rates'!AO51-'CS Rates'!AO51)</f>
        <v>0</v>
      </c>
      <c r="AP51">
        <f>kWh!AP51*('Elec Rates'!AP51-'CS Rates'!AP51)</f>
        <v>0</v>
      </c>
      <c r="AQ51">
        <f>SUM(B51:AP51)</f>
        <v>3905.3735999999994</v>
      </c>
    </row>
    <row r="52">
      <c r="A52">
        <v>45778</v>
      </c>
      <c r="B52">
        <f>kWh!B52*('Elec Rates'!B52-'CS Rates'!B52)</f>
        <v>371.2887999999999</v>
      </c>
      <c r="C52">
        <f>kWh!C52*('Elec Rates'!C52-'CS Rates'!C52)</f>
        <v>407.6175</v>
      </c>
      <c r="D52">
        <f>kWh!D52*('Elec Rates'!D52-'CS Rates'!D52)</f>
        <v>559.0552</v>
      </c>
      <c r="E52">
        <f>kWh!E52*('Elec Rates'!E52-'CS Rates'!E52)</f>
        <v>621.4488</v>
      </c>
      <c r="F52">
        <f>kWh!F52*('Elec Rates'!F52-'CS Rates'!F52)</f>
        <v>677.4834</v>
      </c>
      <c r="G52">
        <f>kWh!G52*('Elec Rates'!G52-'CS Rates'!G52)</f>
        <v>125.3276</v>
      </c>
      <c r="H52">
        <f>kWh!H52*('Elec Rates'!H52-'CS Rates'!H52)</f>
        <v>835.1872000000001</v>
      </c>
      <c r="I52">
        <f>kWh!I52*('Elec Rates'!I52-'CS Rates'!I52)</f>
        <v>3.0160000000000027</v>
      </c>
      <c r="J52">
        <f>kWh!J52*('Elec Rates'!J52-'CS Rates'!J52)</f>
        <v>25.258999999999997</v>
      </c>
      <c r="K52">
        <f>kWh!K52*('Elec Rates'!K52-'CS Rates'!K52)</f>
        <v>42.432</v>
      </c>
      <c r="L52">
        <f>kWh!L52*('Elec Rates'!L52-'CS Rates'!L52)</f>
        <v>112.97500000000004</v>
      </c>
      <c r="M52">
        <f>kWh!M52*('Elec Rates'!M52-'CS Rates'!M52)</f>
        <v>55.4</v>
      </c>
      <c r="N52">
        <f>kWh!N52*('Elec Rates'!N52-'CS Rates'!N52)</f>
        <v>0</v>
      </c>
      <c r="O52">
        <f>kWh!O52*('Elec Rates'!O52-'CS Rates'!O52)</f>
        <v>0</v>
      </c>
      <c r="P52">
        <f>kWh!P52*('Elec Rates'!P52-'CS Rates'!P52)</f>
        <v>0</v>
      </c>
      <c r="Q52">
        <f>kWh!Q52*('Elec Rates'!Q52-'CS Rates'!Q52)</f>
        <v>0</v>
      </c>
      <c r="R52">
        <f>kWh!R52*('Elec Rates'!R52-'CS Rates'!R52)</f>
        <v>0</v>
      </c>
      <c r="S52">
        <f>kWh!S52*('Elec Rates'!S52-'CS Rates'!S52)</f>
        <v>0</v>
      </c>
      <c r="T52">
        <f>kWh!T52*('Elec Rates'!T52-'CS Rates'!T52)</f>
        <v>0</v>
      </c>
      <c r="U52">
        <f>kWh!U52*('Elec Rates'!U52-'CS Rates'!U52)</f>
        <v>0</v>
      </c>
      <c r="V52">
        <f>kWh!V52*('Elec Rates'!V52-'CS Rates'!V52)</f>
        <v>0</v>
      </c>
      <c r="W52">
        <f>kWh!W52*('Elec Rates'!W52-'CS Rates'!W52)</f>
        <v>0</v>
      </c>
      <c r="X52">
        <f>kWh!X52*('Elec Rates'!X52-'CS Rates'!X52)</f>
        <v>0</v>
      </c>
      <c r="Y52">
        <f>kWh!Y52*('Elec Rates'!Y52-'CS Rates'!Y52)</f>
        <v>0</v>
      </c>
      <c r="Z52">
        <f>kWh!Z52*('Elec Rates'!Z52-'CS Rates'!Z52)</f>
        <v>0</v>
      </c>
      <c r="AA52">
        <f>kWh!AA52*('Elec Rates'!AA52-'CS Rates'!AA52)</f>
        <v>0</v>
      </c>
      <c r="AB52">
        <f>kWh!AB52*('Elec Rates'!AB52-'CS Rates'!AB52)</f>
        <v>0</v>
      </c>
      <c r="AC52">
        <f>kWh!AC52*('Elec Rates'!AC52-'CS Rates'!AC52)</f>
        <v>0</v>
      </c>
      <c r="AD52">
        <f>kWh!AD52*('Elec Rates'!AD52-'CS Rates'!AD52)</f>
        <v>0</v>
      </c>
      <c r="AE52">
        <f>kWh!AE52*('Elec Rates'!AE52-'CS Rates'!AE52)</f>
        <v>0</v>
      </c>
      <c r="AF52">
        <f>kWh!AF52*('Elec Rates'!AF52-'CS Rates'!AF52)</f>
        <v>0</v>
      </c>
      <c r="AG52">
        <f>kWh!AG52*('Elec Rates'!AG52-'CS Rates'!AG52)</f>
        <v>0</v>
      </c>
      <c r="AH52">
        <f>kWh!AH52*('Elec Rates'!AH52-'CS Rates'!AH52)</f>
        <v>0</v>
      </c>
      <c r="AI52">
        <f>kWh!AI52*('Elec Rates'!AI52-'CS Rates'!AI52)</f>
        <v>0</v>
      </c>
      <c r="AJ52">
        <f>kWh!AJ52*('Elec Rates'!AJ52-'CS Rates'!AJ52)</f>
        <v>0</v>
      </c>
      <c r="AK52">
        <f>kWh!AK52*('Elec Rates'!AK52-'CS Rates'!AK52)</f>
        <v>0</v>
      </c>
      <c r="AL52">
        <f>kWh!AL52*('Elec Rates'!AL52-'CS Rates'!AL52)</f>
        <v>0</v>
      </c>
      <c r="AM52">
        <f>kWh!AM52*('Elec Rates'!AM52-'CS Rates'!AM52)</f>
        <v>0</v>
      </c>
      <c r="AN52">
        <f>kWh!AN52*('Elec Rates'!AN52-'CS Rates'!AN52)</f>
        <v>0</v>
      </c>
      <c r="AO52">
        <f>kWh!AO52*('Elec Rates'!AO52-'CS Rates'!AO52)</f>
        <v>0</v>
      </c>
      <c r="AP52">
        <f>kWh!AP52*('Elec Rates'!AP52-'CS Rates'!AP52)</f>
        <v>0</v>
      </c>
      <c r="AQ52">
        <f>SUM(B52:AP52)</f>
        <v>3836.4905000000003</v>
      </c>
    </row>
    <row r="53">
      <c r="A53">
        <v>45809</v>
      </c>
      <c r="B53">
        <f>kWh!B53*('Elec Rates'!B53-'CS Rates'!B53)</f>
        <v>1092.4074</v>
      </c>
      <c r="C53">
        <f>kWh!C53*('Elec Rates'!C53-'CS Rates'!C53)</f>
        <v>349.22079999999994</v>
      </c>
      <c r="D53">
        <f>kWh!D53*('Elec Rates'!D53-'CS Rates'!D53)</f>
        <v>1530.8484999999998</v>
      </c>
      <c r="E53">
        <f>kWh!E53*('Elec Rates'!E53-'CS Rates'!E53)</f>
        <v>1851.8388</v>
      </c>
      <c r="F53">
        <f>kWh!F53*('Elec Rates'!F53-'CS Rates'!F53)</f>
        <v>694.737</v>
      </c>
      <c r="G53">
        <f>kWh!G53*('Elec Rates'!G53-'CS Rates'!G53)</f>
        <v>342.44699999999995</v>
      </c>
      <c r="H53">
        <f>kWh!H53*('Elec Rates'!H53-'CS Rates'!H53)</f>
        <v>833.7078</v>
      </c>
      <c r="I53">
        <f>kWh!I53*('Elec Rates'!I53-'CS Rates'!I53)</f>
        <v>-143.158</v>
      </c>
      <c r="J53">
        <f>kWh!J53*('Elec Rates'!J53-'CS Rates'!J53)</f>
        <v>414.96999999999986</v>
      </c>
      <c r="K53">
        <f>kWh!K53*('Elec Rates'!K53-'CS Rates'!K53)</f>
        <v>1962.6960000000001</v>
      </c>
      <c r="L53">
        <f>kWh!L53*('Elec Rates'!L53-'CS Rates'!L53)</f>
        <v>609.3049999999997</v>
      </c>
      <c r="M53">
        <f>kWh!M53*('Elec Rates'!M53-'CS Rates'!M53)</f>
        <v>573.986</v>
      </c>
      <c r="N53">
        <f>kWh!N53*('Elec Rates'!N53-'CS Rates'!N53)</f>
        <v>147.67999999999995</v>
      </c>
      <c r="O53">
        <f>kWh!O53*('Elec Rates'!O53-'CS Rates'!O53)</f>
        <v>177.868</v>
      </c>
      <c r="P53">
        <f>kWh!P53*('Elec Rates'!P53-'CS Rates'!P53)</f>
        <v>0</v>
      </c>
      <c r="Q53">
        <f>kWh!Q53*('Elec Rates'!Q53-'CS Rates'!Q53)</f>
        <v>331.01800000000003</v>
      </c>
      <c r="R53">
        <f>kWh!R53*('Elec Rates'!R53-'CS Rates'!R53)</f>
        <v>0</v>
      </c>
      <c r="S53">
        <f>kWh!S53*('Elec Rates'!S53-'CS Rates'!S53)</f>
        <v>0</v>
      </c>
      <c r="T53">
        <f>kWh!T53*('Elec Rates'!T53-'CS Rates'!T53)</f>
        <v>0</v>
      </c>
      <c r="U53">
        <f>kWh!U53*('Elec Rates'!U53-'CS Rates'!U53)</f>
        <v>0</v>
      </c>
      <c r="V53">
        <f>kWh!V53*('Elec Rates'!V53-'CS Rates'!V53)</f>
        <v>0</v>
      </c>
      <c r="W53">
        <f>kWh!W53*('Elec Rates'!W53-'CS Rates'!W53)</f>
        <v>0</v>
      </c>
      <c r="X53">
        <f>kWh!X53*('Elec Rates'!X53-'CS Rates'!X53)</f>
        <v>0</v>
      </c>
      <c r="Y53">
        <f>kWh!Y53*('Elec Rates'!Y53-'CS Rates'!Y53)</f>
        <v>0</v>
      </c>
      <c r="Z53">
        <f>kWh!Z53*('Elec Rates'!Z53-'CS Rates'!Z53)</f>
        <v>0</v>
      </c>
      <c r="AA53">
        <f>kWh!AA53*('Elec Rates'!AA53-'CS Rates'!AA53)</f>
        <v>0</v>
      </c>
      <c r="AB53">
        <f>kWh!AB53*('Elec Rates'!AB53-'CS Rates'!AB53)</f>
        <v>0</v>
      </c>
      <c r="AC53">
        <f>kWh!AC53*('Elec Rates'!AC53-'CS Rates'!AC53)</f>
        <v>0</v>
      </c>
      <c r="AD53">
        <f>kWh!AD53*('Elec Rates'!AD53-'CS Rates'!AD53)</f>
        <v>0</v>
      </c>
      <c r="AE53">
        <f>kWh!AE53*('Elec Rates'!AE53-'CS Rates'!AE53)</f>
        <v>0</v>
      </c>
      <c r="AF53">
        <f>kWh!AF53*('Elec Rates'!AF53-'CS Rates'!AF53)</f>
        <v>0</v>
      </c>
      <c r="AG53">
        <f>kWh!AG53*('Elec Rates'!AG53-'CS Rates'!AG53)</f>
        <v>0</v>
      </c>
      <c r="AH53">
        <f>kWh!AH53*('Elec Rates'!AH53-'CS Rates'!AH53)</f>
        <v>0</v>
      </c>
      <c r="AI53">
        <f>kWh!AI53*('Elec Rates'!AI53-'CS Rates'!AI53)</f>
        <v>0</v>
      </c>
      <c r="AJ53">
        <f>kWh!AJ53*('Elec Rates'!AJ53-'CS Rates'!AJ53)</f>
        <v>0</v>
      </c>
      <c r="AK53">
        <f>kWh!AK53*('Elec Rates'!AK53-'CS Rates'!AK53)</f>
        <v>0</v>
      </c>
      <c r="AL53">
        <f>kWh!AL53*('Elec Rates'!AL53-'CS Rates'!AL53)</f>
        <v>0</v>
      </c>
      <c r="AM53">
        <f>kWh!AM53*('Elec Rates'!AM53-'CS Rates'!AM53)</f>
        <v>0</v>
      </c>
      <c r="AN53">
        <f>kWh!AN53*('Elec Rates'!AN53-'CS Rates'!AN53)</f>
        <v>0</v>
      </c>
      <c r="AO53">
        <f>kWh!AO53*('Elec Rates'!AO53-'CS Rates'!AO53)</f>
        <v>0</v>
      </c>
      <c r="AP53">
        <f>kWh!AP53*('Elec Rates'!AP53-'CS Rates'!AP53)</f>
        <v>0</v>
      </c>
      <c r="AQ53">
        <f>SUM(B53:AP53)</f>
        <v>10769.572300000003</v>
      </c>
    </row>
    <row r="54">
      <c r="A54">
        <v>45839</v>
      </c>
      <c r="B54">
        <f>kWh!B54*('Elec Rates'!B54-'CS Rates'!B54)</f>
        <v>1099.9599</v>
      </c>
      <c r="C54">
        <f>kWh!C54*('Elec Rates'!C54-'CS Rates'!C54)</f>
        <v>354.6278999999999</v>
      </c>
      <c r="D54">
        <f>kWh!D54*('Elec Rates'!D54-'CS Rates'!D54)</f>
        <v>1513.3068999999998</v>
      </c>
      <c r="E54">
        <f>kWh!E54*('Elec Rates'!E54-'CS Rates'!E54)</f>
        <v>1516.8747999999998</v>
      </c>
      <c r="F54">
        <f>kWh!F54*('Elec Rates'!F54-'CS Rates'!F54)</f>
        <v>753.5615999999999</v>
      </c>
      <c r="G54">
        <f>kWh!G54*('Elec Rates'!G54-'CS Rates'!G54)</f>
        <v>388.1318</v>
      </c>
      <c r="H54">
        <f>kWh!H54*('Elec Rates'!H54-'CS Rates'!H54)</f>
        <v>998.0904</v>
      </c>
      <c r="I54">
        <f>kWh!I54*('Elec Rates'!I54-'CS Rates'!I54)</f>
        <v>170.20399999999995</v>
      </c>
      <c r="J54">
        <f>kWh!J54*('Elec Rates'!J54-'CS Rates'!J54)</f>
        <v>185.65399999999997</v>
      </c>
      <c r="K54">
        <f>kWh!K54*('Elec Rates'!K54-'CS Rates'!K54)</f>
        <v>2032.5500000000002</v>
      </c>
      <c r="L54">
        <f>kWh!L54*('Elec Rates'!L54-'CS Rates'!L54)</f>
        <v>647.4659999999997</v>
      </c>
      <c r="M54">
        <f>kWh!M54*('Elec Rates'!M54-'CS Rates'!M54)</f>
        <v>780.7099999999999</v>
      </c>
      <c r="N54">
        <f>kWh!N54*('Elec Rates'!N54-'CS Rates'!N54)</f>
        <v>651.0349999999999</v>
      </c>
      <c r="O54">
        <f>kWh!O54*('Elec Rates'!O54-'CS Rates'!O54)</f>
        <v>341.73099999999994</v>
      </c>
      <c r="P54">
        <f>kWh!P54*('Elec Rates'!P54-'CS Rates'!P54)</f>
        <v>0</v>
      </c>
      <c r="Q54">
        <f>kWh!Q54*('Elec Rates'!Q54-'CS Rates'!Q54)</f>
        <v>353.141</v>
      </c>
      <c r="R54">
        <f>kWh!R54*('Elec Rates'!R54-'CS Rates'!R54)</f>
        <v>0</v>
      </c>
      <c r="S54">
        <f>kWh!S54*('Elec Rates'!S54-'CS Rates'!S54)</f>
        <v>0</v>
      </c>
      <c r="T54">
        <f>kWh!T54*('Elec Rates'!T54-'CS Rates'!T54)</f>
        <v>230.769</v>
      </c>
      <c r="U54">
        <f>kWh!U54*('Elec Rates'!U54-'CS Rates'!U54)</f>
        <v>0</v>
      </c>
      <c r="V54">
        <f>kWh!V54*('Elec Rates'!V54-'CS Rates'!V54)</f>
        <v>0</v>
      </c>
      <c r="W54">
        <f>kWh!W54*('Elec Rates'!W54-'CS Rates'!W54)</f>
        <v>0</v>
      </c>
      <c r="X54">
        <f>kWh!X54*('Elec Rates'!X54-'CS Rates'!X54)</f>
        <v>471.663</v>
      </c>
      <c r="Y54">
        <f>kWh!Y54*('Elec Rates'!Y54-'CS Rates'!Y54)</f>
        <v>408.60599999999994</v>
      </c>
      <c r="Z54">
        <f>kWh!Z54*('Elec Rates'!Z54-'CS Rates'!Z54)</f>
        <v>0</v>
      </c>
      <c r="AA54">
        <f>kWh!AA54*('Elec Rates'!AA54-'CS Rates'!AA54)</f>
        <v>172.42399999999986</v>
      </c>
      <c r="AB54">
        <f>kWh!AB54*('Elec Rates'!AB54-'CS Rates'!AB54)</f>
        <v>215.682</v>
      </c>
      <c r="AC54">
        <f>kWh!AC54*('Elec Rates'!AC54-'CS Rates'!AC54)</f>
        <v>0</v>
      </c>
      <c r="AD54">
        <f>kWh!AD54*('Elec Rates'!AD54-'CS Rates'!AD54)</f>
        <v>0</v>
      </c>
      <c r="AE54">
        <f>kWh!AE54*('Elec Rates'!AE54-'CS Rates'!AE54)</f>
        <v>0</v>
      </c>
      <c r="AF54">
        <f>kWh!AF54*('Elec Rates'!AF54-'CS Rates'!AF54)</f>
        <v>0</v>
      </c>
      <c r="AG54">
        <f>kWh!AG54*('Elec Rates'!AG54-'CS Rates'!AG54)</f>
        <v>0</v>
      </c>
      <c r="AH54">
        <f>kWh!AH54*('Elec Rates'!AH54-'CS Rates'!AH54)</f>
        <v>0</v>
      </c>
      <c r="AI54">
        <f>kWh!AI54*('Elec Rates'!AI54-'CS Rates'!AI54)</f>
        <v>0</v>
      </c>
      <c r="AJ54">
        <f>kWh!AJ54*('Elec Rates'!AJ54-'CS Rates'!AJ54)</f>
        <v>0</v>
      </c>
      <c r="AK54">
        <f>kWh!AK54*('Elec Rates'!AK54-'CS Rates'!AK54)</f>
        <v>0</v>
      </c>
      <c r="AL54">
        <f>kWh!AL54*('Elec Rates'!AL54-'CS Rates'!AL54)</f>
        <v>0</v>
      </c>
      <c r="AM54">
        <f>kWh!AM54*('Elec Rates'!AM54-'CS Rates'!AM54)</f>
        <v>0</v>
      </c>
      <c r="AN54">
        <f>kWh!AN54*('Elec Rates'!AN54-'CS Rates'!AN54)</f>
        <v>0</v>
      </c>
      <c r="AO54">
        <f>kWh!AO54*('Elec Rates'!AO54-'CS Rates'!AO54)</f>
        <v>0</v>
      </c>
      <c r="AP54">
        <f>kWh!AP54*('Elec Rates'!AP54-'CS Rates'!AP54)</f>
        <v>0</v>
      </c>
      <c r="AQ54">
        <f>SUM(B54:AP54)</f>
        <v>13286.188299999998</v>
      </c>
    </row>
    <row r="55">
      <c r="A55">
        <v>45870</v>
      </c>
      <c r="B55">
        <f>kWh!B55*('Elec Rates'!B55-'CS Rates'!B55)</f>
        <v>805.3425</v>
      </c>
      <c r="C55">
        <f>kWh!C55*('Elec Rates'!C55-'CS Rates'!C55)</f>
        <v>286.30969999999996</v>
      </c>
      <c r="D55">
        <f>kWh!D55*('Elec Rates'!D55-'CS Rates'!D55)</f>
        <v>1069.1720999999998</v>
      </c>
      <c r="E55">
        <f>kWh!E55*('Elec Rates'!E55-'CS Rates'!E55)</f>
        <v>1560.0366000000001</v>
      </c>
      <c r="F55">
        <f>kWh!F55*('Elec Rates'!F55-'CS Rates'!F55)</f>
        <v>567.0368</v>
      </c>
      <c r="G55">
        <f>kWh!G55*('Elec Rates'!G55-'CS Rates'!G55)</f>
        <v>301.7846</v>
      </c>
      <c r="H55">
        <f>kWh!H55*('Elec Rates'!H55-'CS Rates'!H55)</f>
        <v>657.1866</v>
      </c>
      <c r="I55">
        <f>kWh!I55*('Elec Rates'!I55-'CS Rates'!I55)</f>
        <v>120.46599999999995</v>
      </c>
      <c r="J55">
        <f>kWh!J55*('Elec Rates'!J55-'CS Rates'!J55)</f>
        <v>229.30600000000007</v>
      </c>
      <c r="K55">
        <f>kWh!K55*('Elec Rates'!K55-'CS Rates'!K55)</f>
        <v>1097.1449999999998</v>
      </c>
      <c r="L55">
        <f>kWh!L55*('Elec Rates'!L55-'CS Rates'!L55)</f>
        <v>398.23200000000014</v>
      </c>
      <c r="M55">
        <f>kWh!M55*('Elec Rates'!M55-'CS Rates'!M55)</f>
        <v>658.578</v>
      </c>
      <c r="N55">
        <f>kWh!N55*('Elec Rates'!N55-'CS Rates'!N55)</f>
        <v>566.1629999999999</v>
      </c>
      <c r="O55">
        <f>kWh!O55*('Elec Rates'!O55-'CS Rates'!O55)</f>
        <v>287.49</v>
      </c>
      <c r="P55">
        <f>kWh!P55*('Elec Rates'!P55-'CS Rates'!P55)</f>
        <v>0</v>
      </c>
      <c r="Q55">
        <f>kWh!Q55*('Elec Rates'!Q55-'CS Rates'!Q55)</f>
        <v>655.959</v>
      </c>
      <c r="R55">
        <f>kWh!R55*('Elec Rates'!R55-'CS Rates'!R55)</f>
        <v>0</v>
      </c>
      <c r="S55">
        <f>kWh!S55*('Elec Rates'!S55-'CS Rates'!S55)</f>
        <v>-52.44000000000005</v>
      </c>
      <c r="T55">
        <f>kWh!T55*('Elec Rates'!T55-'CS Rates'!T55)</f>
        <v>544.576</v>
      </c>
      <c r="U55">
        <f>kWh!U55*('Elec Rates'!U55-'CS Rates'!U55)</f>
        <v>0</v>
      </c>
      <c r="V55">
        <f>kWh!V55*('Elec Rates'!V55-'CS Rates'!V55)</f>
        <v>0</v>
      </c>
      <c r="W55">
        <f>kWh!W55*('Elec Rates'!W55-'CS Rates'!W55)</f>
        <v>0</v>
      </c>
      <c r="X55">
        <f>kWh!X55*('Elec Rates'!X55-'CS Rates'!X55)</f>
        <v>1538.544</v>
      </c>
      <c r="Y55">
        <f>kWh!Y55*('Elec Rates'!Y55-'CS Rates'!Y55)</f>
        <v>310.488</v>
      </c>
      <c r="Z55">
        <f>kWh!Z55*('Elec Rates'!Z55-'CS Rates'!Z55)</f>
        <v>22.567999999999984</v>
      </c>
      <c r="AA55">
        <f>kWh!AA55*('Elec Rates'!AA55-'CS Rates'!AA55)</f>
        <v>174.3199999999999</v>
      </c>
      <c r="AB55">
        <f>kWh!AB55*('Elec Rates'!AB55-'CS Rates'!AB55)</f>
        <v>321.816</v>
      </c>
      <c r="AC55">
        <f>kWh!AC55*('Elec Rates'!AC55-'CS Rates'!AC55)</f>
        <v>0</v>
      </c>
      <c r="AD55">
        <f>kWh!AD55*('Elec Rates'!AD55-'CS Rates'!AD55)</f>
        <v>0</v>
      </c>
      <c r="AE55">
        <f>kWh!AE55*('Elec Rates'!AE55-'CS Rates'!AE55)</f>
        <v>0</v>
      </c>
      <c r="AF55">
        <f>kWh!AF55*('Elec Rates'!AF55-'CS Rates'!AF55)</f>
        <v>0</v>
      </c>
      <c r="AG55">
        <f>kWh!AG55*('Elec Rates'!AG55-'CS Rates'!AG55)</f>
        <v>0</v>
      </c>
      <c r="AH55">
        <f>kWh!AH55*('Elec Rates'!AH55-'CS Rates'!AH55)</f>
        <v>0</v>
      </c>
      <c r="AI55">
        <f>kWh!AI55*('Elec Rates'!AI55-'CS Rates'!AI55)</f>
        <v>0</v>
      </c>
      <c r="AJ55">
        <f>kWh!AJ55*('Elec Rates'!AJ55-'CS Rates'!AJ55)</f>
        <v>0</v>
      </c>
      <c r="AK55">
        <f>kWh!AK55*('Elec Rates'!AK55-'CS Rates'!AK55)</f>
        <v>0</v>
      </c>
      <c r="AL55">
        <f>kWh!AL55*('Elec Rates'!AL55-'CS Rates'!AL55)</f>
        <v>0</v>
      </c>
      <c r="AM55">
        <f>kWh!AM55*('Elec Rates'!AM55-'CS Rates'!AM55)</f>
        <v>0</v>
      </c>
      <c r="AN55">
        <f>kWh!AN55*('Elec Rates'!AN55-'CS Rates'!AN55)</f>
        <v>0</v>
      </c>
      <c r="AO55">
        <f>kWh!AO55*('Elec Rates'!AO55-'CS Rates'!AO55)</f>
        <v>0</v>
      </c>
      <c r="AP55">
        <f>kWh!AP55*('Elec Rates'!AP55-'CS Rates'!AP55)</f>
        <v>0</v>
      </c>
      <c r="AQ55">
        <f>SUM(B55:AP55)</f>
        <v>12120.079899999999</v>
      </c>
    </row>
    <row r="56">
      <c r="A56">
        <v>45901</v>
      </c>
      <c r="B56">
        <f>kWh!B56*('Elec Rates'!B56-'CS Rates'!B56)</f>
        <v>812.7673</v>
      </c>
      <c r="C56">
        <f>kWh!C56*('Elec Rates'!C56-'CS Rates'!C56)</f>
        <v>287.98889999999994</v>
      </c>
      <c r="D56">
        <f>kWh!D56*('Elec Rates'!D56-'CS Rates'!D56)</f>
        <v>1098.4677</v>
      </c>
      <c r="E56">
        <f>kWh!E56*('Elec Rates'!E56-'CS Rates'!E56)</f>
        <v>1169.6383999999998</v>
      </c>
      <c r="F56">
        <f>kWh!F56*('Elec Rates'!F56-'CS Rates'!F56)</f>
        <v>620.76</v>
      </c>
      <c r="G56">
        <f>kWh!G56*('Elec Rates'!G56-'CS Rates'!G56)</f>
        <v>319.54519999999997</v>
      </c>
      <c r="H56">
        <f>kWh!H56*('Elec Rates'!H56-'CS Rates'!H56)</f>
        <v>1068.2112</v>
      </c>
      <c r="I56">
        <f>kWh!I56*('Elec Rates'!I56-'CS Rates'!I56)</f>
        <v>4.153000000000004</v>
      </c>
      <c r="J56">
        <f>kWh!J56*('Elec Rates'!J56-'CS Rates'!J56)</f>
        <v>231.48400000000007</v>
      </c>
      <c r="K56">
        <f>kWh!K56*('Elec Rates'!K56-'CS Rates'!K56)</f>
        <v>1215.9239999999998</v>
      </c>
      <c r="L56">
        <f>kWh!L56*('Elec Rates'!L56-'CS Rates'!L56)</f>
        <v>432.0240000000001</v>
      </c>
      <c r="M56">
        <f>kWh!M56*('Elec Rates'!M56-'CS Rates'!M56)</f>
        <v>701.5989999999999</v>
      </c>
      <c r="N56">
        <f>kWh!N56*('Elec Rates'!N56-'CS Rates'!N56)</f>
        <v>808.696</v>
      </c>
      <c r="O56">
        <f>kWh!O56*('Elec Rates'!O56-'CS Rates'!O56)</f>
        <v>316.764</v>
      </c>
      <c r="P56">
        <f>kWh!P56*('Elec Rates'!P56-'CS Rates'!P56)</f>
        <v>0</v>
      </c>
      <c r="Q56">
        <f>kWh!Q56*('Elec Rates'!Q56-'CS Rates'!Q56)</f>
        <v>601.3579999999998</v>
      </c>
      <c r="R56">
        <f>kWh!R56*('Elec Rates'!R56-'CS Rates'!R56)</f>
        <v>137.10000000000002</v>
      </c>
      <c r="S56">
        <f>kWh!S56*('Elec Rates'!S56-'CS Rates'!S56)</f>
        <v>16.833000000000016</v>
      </c>
      <c r="T56">
        <f>kWh!T56*('Elec Rates'!T56-'CS Rates'!T56)</f>
        <v>508.4819999999999</v>
      </c>
      <c r="U56">
        <f>kWh!U56*('Elec Rates'!U56-'CS Rates'!U56)</f>
        <v>143.754</v>
      </c>
      <c r="V56">
        <f>kWh!V56*('Elec Rates'!V56-'CS Rates'!V56)</f>
        <v>1.6499999999999992</v>
      </c>
      <c r="W56">
        <f>kWh!W56*('Elec Rates'!W56-'CS Rates'!W56)</f>
        <v>441.35999999999996</v>
      </c>
      <c r="X56">
        <f>kWh!X56*('Elec Rates'!X56-'CS Rates'!X56)</f>
        <v>1635.4620000000002</v>
      </c>
      <c r="Y56">
        <f>kWh!Y56*('Elec Rates'!Y56-'CS Rates'!Y56)</f>
        <v>298.776</v>
      </c>
      <c r="Z56">
        <f>kWh!Z56*('Elec Rates'!Z56-'CS Rates'!Z56)</f>
        <v>194.75899999999996</v>
      </c>
      <c r="AA56">
        <f>kWh!AA56*('Elec Rates'!AA56-'CS Rates'!AA56)</f>
        <v>-130.2140000000001</v>
      </c>
      <c r="AB56">
        <f>kWh!AB56*('Elec Rates'!AB56-'CS Rates'!AB56)</f>
        <v>329.448</v>
      </c>
      <c r="AC56">
        <f>kWh!AC56*('Elec Rates'!AC56-'CS Rates'!AC56)</f>
        <v>0</v>
      </c>
      <c r="AD56">
        <f>kWh!AD56*('Elec Rates'!AD56-'CS Rates'!AD56)</f>
        <v>0</v>
      </c>
      <c r="AE56">
        <f>kWh!AE56*('Elec Rates'!AE56-'CS Rates'!AE56)</f>
        <v>0</v>
      </c>
      <c r="AF56">
        <f>kWh!AF56*('Elec Rates'!AF56-'CS Rates'!AF56)</f>
        <v>0</v>
      </c>
      <c r="AG56">
        <f>kWh!AG56*('Elec Rates'!AG56-'CS Rates'!AG56)</f>
        <v>0</v>
      </c>
      <c r="AH56">
        <f>kWh!AH56*('Elec Rates'!AH56-'CS Rates'!AH56)</f>
        <v>0</v>
      </c>
      <c r="AI56">
        <f>kWh!AI56*('Elec Rates'!AI56-'CS Rates'!AI56)</f>
        <v>0</v>
      </c>
      <c r="AJ56">
        <f>kWh!AJ56*('Elec Rates'!AJ56-'CS Rates'!AJ56)</f>
        <v>0</v>
      </c>
      <c r="AK56">
        <f>kWh!AK56*('Elec Rates'!AK56-'CS Rates'!AK56)</f>
        <v>0</v>
      </c>
      <c r="AL56">
        <f>kWh!AL56*('Elec Rates'!AL56-'CS Rates'!AL56)</f>
        <v>0</v>
      </c>
      <c r="AM56">
        <f>kWh!AM56*('Elec Rates'!AM56-'CS Rates'!AM56)</f>
        <v>0</v>
      </c>
      <c r="AN56">
        <f>kWh!AN56*('Elec Rates'!AN56-'CS Rates'!AN56)</f>
        <v>0</v>
      </c>
      <c r="AO56">
        <f>kWh!AO56*('Elec Rates'!AO56-'CS Rates'!AO56)</f>
        <v>0</v>
      </c>
      <c r="AP56">
        <f>kWh!AP56*('Elec Rates'!AP56-'CS Rates'!AP56)</f>
        <v>0</v>
      </c>
      <c r="AQ56">
        <f>SUM(B56:AP56)</f>
        <v>13266.790700000001</v>
      </c>
    </row>
    <row r="57">
      <c r="A57">
        <v>45931</v>
      </c>
      <c r="B57">
        <f>kWh!B57*('Elec Rates'!B57-'CS Rates'!B57)</f>
        <v>289.58669999999995</v>
      </c>
      <c r="C57">
        <f>kWh!C57*('Elec Rates'!C57-'CS Rates'!C57)</f>
        <v>435.4753999999999</v>
      </c>
      <c r="D57">
        <f>kWh!D57*('Elec Rates'!D57-'CS Rates'!D57)</f>
        <v>378.74399999999997</v>
      </c>
      <c r="E57">
        <f>kWh!E57*('Elec Rates'!E57-'CS Rates'!E57)</f>
        <v>205.5274</v>
      </c>
      <c r="F57">
        <f>kWh!F57*('Elec Rates'!F57-'CS Rates'!F57)</f>
        <v>484.34059999999994</v>
      </c>
      <c r="G57">
        <f>kWh!G57*('Elec Rates'!G57-'CS Rates'!G57)</f>
        <v>110.75440000000002</v>
      </c>
      <c r="H57">
        <f>kWh!H57*('Elec Rates'!H57-'CS Rates'!H57)</f>
        <v>612.276</v>
      </c>
      <c r="I57">
        <f>kWh!I57*('Elec Rates'!I57-'CS Rates'!I57)</f>
        <v>33.999999999999986</v>
      </c>
      <c r="J57">
        <f>kWh!J57*('Elec Rates'!J57-'CS Rates'!J57)</f>
        <v>171.98000000000005</v>
      </c>
      <c r="K57">
        <f>kWh!K57*('Elec Rates'!K57-'CS Rates'!K57)</f>
        <v>801.9699999999997</v>
      </c>
      <c r="L57">
        <f>kWh!L57*('Elec Rates'!L57-'CS Rates'!L57)</f>
        <v>469.9599999999998</v>
      </c>
      <c r="M57">
        <f>kWh!M57*('Elec Rates'!M57-'CS Rates'!M57)</f>
        <v>558.03</v>
      </c>
      <c r="N57">
        <f>kWh!N57*('Elec Rates'!N57-'CS Rates'!N57)</f>
        <v>587.958</v>
      </c>
      <c r="O57">
        <f>kWh!O57*('Elec Rates'!O57-'CS Rates'!O57)</f>
        <v>54.92500000000002</v>
      </c>
      <c r="P57">
        <f>kWh!P57*('Elec Rates'!P57-'CS Rates'!P57)</f>
        <v>0</v>
      </c>
      <c r="Q57">
        <f>kWh!Q57*('Elec Rates'!Q57-'CS Rates'!Q57)</f>
        <v>442.9899999999998</v>
      </c>
      <c r="R57">
        <f>kWh!R57*('Elec Rates'!R57-'CS Rates'!R57)</f>
        <v>285.15199999999993</v>
      </c>
      <c r="S57">
        <f>kWh!S57*('Elec Rates'!S57-'CS Rates'!S57)</f>
        <v>29.578000000000028</v>
      </c>
      <c r="T57">
        <f>kWh!T57*('Elec Rates'!T57-'CS Rates'!T57)</f>
        <v>394.998</v>
      </c>
      <c r="U57">
        <f>kWh!U57*('Elec Rates'!U57-'CS Rates'!U57)</f>
        <v>142.59799999999996</v>
      </c>
      <c r="V57">
        <f>kWh!V57*('Elec Rates'!V57-'CS Rates'!V57)</f>
        <v>342.3959999999999</v>
      </c>
      <c r="W57">
        <f>kWh!W57*('Elec Rates'!W57-'CS Rates'!W57)</f>
        <v>697.1299999999999</v>
      </c>
      <c r="X57">
        <f>kWh!X57*('Elec Rates'!X57-'CS Rates'!X57)</f>
        <v>1306.669</v>
      </c>
      <c r="Y57">
        <f>kWh!Y57*('Elec Rates'!Y57-'CS Rates'!Y57)</f>
        <v>249.088</v>
      </c>
      <c r="Z57">
        <f>kWh!Z57*('Elec Rates'!Z57-'CS Rates'!Z57)</f>
        <v>156.83999999999995</v>
      </c>
      <c r="AA57">
        <f>kWh!AA57*('Elec Rates'!AA57-'CS Rates'!AA57)</f>
        <v>28.824000000000026</v>
      </c>
      <c r="AB57">
        <f>kWh!AB57*('Elec Rates'!AB57-'CS Rates'!AB57)</f>
        <v>43.39600000000001</v>
      </c>
      <c r="AC57">
        <f>kWh!AC57*('Elec Rates'!AC57-'CS Rates'!AC57)</f>
        <v>0</v>
      </c>
      <c r="AD57">
        <f>kWh!AD57*('Elec Rates'!AD57-'CS Rates'!AD57)</f>
        <v>719.2349999999999</v>
      </c>
      <c r="AE57">
        <f>kWh!AE57*('Elec Rates'!AE57-'CS Rates'!AE57)</f>
        <v>24.569999999999997</v>
      </c>
      <c r="AF57">
        <f>kWh!AF57*('Elec Rates'!AF57-'CS Rates'!AF57)</f>
        <v>0</v>
      </c>
      <c r="AG57">
        <f>kWh!AG57*('Elec Rates'!AG57-'CS Rates'!AG57)</f>
        <v>0</v>
      </c>
      <c r="AH57">
        <f>kWh!AH57*('Elec Rates'!AH57-'CS Rates'!AH57)</f>
        <v>0</v>
      </c>
      <c r="AI57">
        <f>kWh!AI57*('Elec Rates'!AI57-'CS Rates'!AI57)</f>
        <v>106.173</v>
      </c>
      <c r="AJ57">
        <f>kWh!AJ57*('Elec Rates'!AJ57-'CS Rates'!AJ57)</f>
        <v>0</v>
      </c>
      <c r="AK57">
        <f>kWh!AK57*('Elec Rates'!AK57-'CS Rates'!AK57)</f>
        <v>0</v>
      </c>
      <c r="AL57">
        <f>kWh!AL57*('Elec Rates'!AL57-'CS Rates'!AL57)</f>
        <v>0</v>
      </c>
      <c r="AM57">
        <f>kWh!AM57*('Elec Rates'!AM57-'CS Rates'!AM57)</f>
        <v>0</v>
      </c>
      <c r="AN57">
        <f>kWh!AN57*('Elec Rates'!AN57-'CS Rates'!AN57)</f>
        <v>0</v>
      </c>
      <c r="AO57">
        <f>kWh!AO57*('Elec Rates'!AO57-'CS Rates'!AO57)</f>
        <v>0</v>
      </c>
      <c r="AP57">
        <f>kWh!AP57*('Elec Rates'!AP57-'CS Rates'!AP57)</f>
        <v>0</v>
      </c>
      <c r="AQ57">
        <f>SUM(B57:AP57)</f>
        <v>10165.1645</v>
      </c>
    </row>
    <row r="58">
      <c r="A58">
        <v>45962</v>
      </c>
      <c r="B58">
        <f>kWh!B58*('Elec Rates'!B58-'CS Rates'!B58)</f>
        <v>222.52039999999994</v>
      </c>
      <c r="C58">
        <f>kWh!C58*('Elec Rates'!C58-'CS Rates'!C58)</f>
        <v>383.31359999999995</v>
      </c>
      <c r="D58">
        <f>kWh!D58*('Elec Rates'!D58-'CS Rates'!D58)</f>
        <v>369.3932</v>
      </c>
      <c r="E58">
        <f>kWh!E58*('Elec Rates'!E58-'CS Rates'!E58)</f>
        <v>156.61229999999998</v>
      </c>
      <c r="F58">
        <f>kWh!F58*('Elec Rates'!F58-'CS Rates'!F58)</f>
        <v>397.8707999999999</v>
      </c>
      <c r="G58">
        <f>kWh!G58*('Elec Rates'!G58-'CS Rates'!G58)</f>
        <v>97.32760000000002</v>
      </c>
      <c r="H58">
        <f>kWh!H58*('Elec Rates'!H58-'CS Rates'!H58)</f>
        <v>519.232</v>
      </c>
      <c r="I58">
        <f>kWh!I58*('Elec Rates'!I58-'CS Rates'!I58)</f>
        <v>247.06499999999997</v>
      </c>
      <c r="J58">
        <f>kWh!J58*('Elec Rates'!J58-'CS Rates'!J58)</f>
        <v>173.07500000000005</v>
      </c>
      <c r="K58">
        <f>kWh!K58*('Elec Rates'!K58-'CS Rates'!K58)</f>
        <v>553.2569999999996</v>
      </c>
      <c r="L58">
        <f>kWh!L58*('Elec Rates'!L58-'CS Rates'!L58)</f>
        <v>315.3070000000001</v>
      </c>
      <c r="M58">
        <f>kWh!M58*('Elec Rates'!M58-'CS Rates'!M58)</f>
        <v>425.054</v>
      </c>
      <c r="N58">
        <f>kWh!N58*('Elec Rates'!N58-'CS Rates'!N58)</f>
        <v>580.59</v>
      </c>
      <c r="O58">
        <f>kWh!O58*('Elec Rates'!O58-'CS Rates'!O58)</f>
        <v>67.39199999999998</v>
      </c>
      <c r="P58">
        <f>kWh!P58*('Elec Rates'!P58-'CS Rates'!P58)</f>
        <v>0</v>
      </c>
      <c r="Q58">
        <f>kWh!Q58*('Elec Rates'!Q58-'CS Rates'!Q58)</f>
        <v>927.696</v>
      </c>
      <c r="R58">
        <f>kWh!R58*('Elec Rates'!R58-'CS Rates'!R58)</f>
        <v>533.025</v>
      </c>
      <c r="S58">
        <f>kWh!S58*('Elec Rates'!S58-'CS Rates'!S58)</f>
        <v>208.592</v>
      </c>
      <c r="T58">
        <f>kWh!T58*('Elec Rates'!T58-'CS Rates'!T58)</f>
        <v>265.55999999999995</v>
      </c>
      <c r="U58">
        <f>kWh!U58*('Elec Rates'!U58-'CS Rates'!U58)</f>
        <v>113.32999999999997</v>
      </c>
      <c r="V58">
        <f>kWh!V58*('Elec Rates'!V58-'CS Rates'!V58)</f>
        <v>340.001</v>
      </c>
      <c r="W58">
        <f>kWh!W58*('Elec Rates'!W58-'CS Rates'!W58)</f>
        <v>398.46600000000007</v>
      </c>
      <c r="X58">
        <f>kWh!X58*('Elec Rates'!X58-'CS Rates'!X58)</f>
        <v>913.5119999999998</v>
      </c>
      <c r="Y58">
        <f>kWh!Y58*('Elec Rates'!Y58-'CS Rates'!Y58)</f>
        <v>199.775</v>
      </c>
      <c r="Z58">
        <f>kWh!Z58*('Elec Rates'!Z58-'CS Rates'!Z58)</f>
        <v>53.88000000000002</v>
      </c>
      <c r="AA58">
        <f>kWh!AA58*('Elec Rates'!AA58-'CS Rates'!AA58)</f>
        <v>260.05000000000007</v>
      </c>
      <c r="AB58">
        <f>kWh!AB58*('Elec Rates'!AB58-'CS Rates'!AB58)</f>
        <v>17.544999999999995</v>
      </c>
      <c r="AC58">
        <f>kWh!AC58*('Elec Rates'!AC58-'CS Rates'!AC58)</f>
        <v>250.21300000000002</v>
      </c>
      <c r="AD58">
        <f>kWh!AD58*('Elec Rates'!AD58-'CS Rates'!AD58)</f>
        <v>746.0269999999999</v>
      </c>
      <c r="AE58">
        <f>kWh!AE58*('Elec Rates'!AE58-'CS Rates'!AE58)</f>
        <v>474.39</v>
      </c>
      <c r="AF58">
        <f>kWh!AF58*('Elec Rates'!AF58-'CS Rates'!AF58)</f>
        <v>0.464</v>
      </c>
      <c r="AG58">
        <f>kWh!AG58*('Elec Rates'!AG58-'CS Rates'!AG58)</f>
        <v>226.87499999999991</v>
      </c>
      <c r="AH58">
        <f>kWh!AH58*('Elec Rates'!AH58-'CS Rates'!AH58)</f>
        <v>32.93999999999999</v>
      </c>
      <c r="AI58">
        <f>kWh!AI58*('Elec Rates'!AI58-'CS Rates'!AI58)</f>
        <v>27.43399999999999</v>
      </c>
      <c r="AJ58">
        <f>kWh!AJ58*('Elec Rates'!AJ58-'CS Rates'!AJ58)</f>
        <v>0</v>
      </c>
      <c r="AK58">
        <f>kWh!AK58*('Elec Rates'!AK58-'CS Rates'!AK58)</f>
        <v>0</v>
      </c>
      <c r="AL58">
        <f>kWh!AL58*('Elec Rates'!AL58-'CS Rates'!AL58)</f>
        <v>0</v>
      </c>
      <c r="AM58">
        <f>kWh!AM58*('Elec Rates'!AM58-'CS Rates'!AM58)</f>
        <v>0</v>
      </c>
      <c r="AN58">
        <f>kWh!AN58*('Elec Rates'!AN58-'CS Rates'!AN58)</f>
        <v>0</v>
      </c>
      <c r="AO58">
        <f>kWh!AO58*('Elec Rates'!AO58-'CS Rates'!AO58)</f>
        <v>0</v>
      </c>
      <c r="AP58">
        <f>kWh!AP58*('Elec Rates'!AP58-'CS Rates'!AP58)</f>
        <v>0</v>
      </c>
      <c r="AQ58">
        <f>SUM(B58:AP58)</f>
        <v>10497.784899999997</v>
      </c>
    </row>
    <row r="59">
      <c r="A59">
        <v>45992</v>
      </c>
      <c r="B59">
        <f>kWh!B59*('Elec Rates'!B59-'CS Rates'!B59)</f>
        <v>158.1195</v>
      </c>
      <c r="C59">
        <f>kWh!C59*('Elec Rates'!C59-'CS Rates'!C59)</f>
        <v>288.93289999999996</v>
      </c>
      <c r="D59">
        <f>kWh!D59*('Elec Rates'!D59-'CS Rates'!D59)</f>
        <v>269.5233</v>
      </c>
      <c r="E59">
        <f>kWh!E59*('Elec Rates'!E59-'CS Rates'!E59)</f>
        <v>301.0585</v>
      </c>
      <c r="F59">
        <f>kWh!F59*('Elec Rates'!F59-'CS Rates'!F59)</f>
        <v>229.71179999999998</v>
      </c>
      <c r="G59">
        <f>kWh!G59*('Elec Rates'!G59-'CS Rates'!G59)</f>
        <v>75.35009999999998</v>
      </c>
      <c r="H59">
        <f>kWh!H59*('Elec Rates'!H59-'CS Rates'!H59)</f>
        <v>492.11340000000007</v>
      </c>
      <c r="I59">
        <f>kWh!I59*('Elec Rates'!I59-'CS Rates'!I59)</f>
        <v>12.071999999999983</v>
      </c>
      <c r="J59">
        <f>kWh!J59*('Elec Rates'!J59-'CS Rates'!J59)</f>
        <v>-17.331000000000014</v>
      </c>
      <c r="K59">
        <f>kWh!K59*('Elec Rates'!K59-'CS Rates'!K59)</f>
        <v>228.79999999999995</v>
      </c>
      <c r="L59">
        <f>kWh!L59*('Elec Rates'!L59-'CS Rates'!L59)</f>
        <v>-21.34200000000002</v>
      </c>
      <c r="M59">
        <f>kWh!M59*('Elec Rates'!M59-'CS Rates'!M59)</f>
        <v>199.77499999999995</v>
      </c>
      <c r="N59">
        <f>kWh!N59*('Elec Rates'!N59-'CS Rates'!N59)</f>
        <v>627.0389999999999</v>
      </c>
      <c r="O59">
        <f>kWh!O59*('Elec Rates'!O59-'CS Rates'!O59)</f>
        <v>76.284</v>
      </c>
      <c r="P59">
        <f>kWh!P59*('Elec Rates'!P59-'CS Rates'!P59)</f>
        <v>-1.5030000000000014</v>
      </c>
      <c r="Q59">
        <f>kWh!Q59*('Elec Rates'!Q59-'CS Rates'!Q59)</f>
        <v>138.72</v>
      </c>
      <c r="R59">
        <f>kWh!R59*('Elec Rates'!R59-'CS Rates'!R59)</f>
        <v>324.0319999999999</v>
      </c>
      <c r="S59">
        <f>kWh!S59*('Elec Rates'!S59-'CS Rates'!S59)</f>
        <v>156.88</v>
      </c>
      <c r="T59">
        <f>kWh!T59*('Elec Rates'!T59-'CS Rates'!T59)</f>
        <v>170</v>
      </c>
      <c r="U59">
        <f>kWh!U59*('Elec Rates'!U59-'CS Rates'!U59)</f>
        <v>81.51499999999997</v>
      </c>
      <c r="V59">
        <f>kWh!V59*('Elec Rates'!V59-'CS Rates'!V59)</f>
        <v>375.2399999999999</v>
      </c>
      <c r="W59">
        <f>kWh!W59*('Elec Rates'!W59-'CS Rates'!W59)</f>
        <v>203.535</v>
      </c>
      <c r="X59">
        <f>kWh!X59*('Elec Rates'!X59-'CS Rates'!X59)</f>
        <v>246.8160000000001</v>
      </c>
      <c r="Y59">
        <f>kWh!Y59*('Elec Rates'!Y59-'CS Rates'!Y59)</f>
        <v>191.055</v>
      </c>
      <c r="Z59">
        <f>kWh!Z59*('Elec Rates'!Z59-'CS Rates'!Z59)</f>
        <v>37.86200000000001</v>
      </c>
      <c r="AA59">
        <f>kWh!AA59*('Elec Rates'!AA59-'CS Rates'!AA59)</f>
        <v>314.4899999999999</v>
      </c>
      <c r="AB59">
        <f>kWh!AB59*('Elec Rates'!AB59-'CS Rates'!AB59)</f>
        <v>3.440999999999987</v>
      </c>
      <c r="AC59">
        <f>kWh!AC59*('Elec Rates'!AC59-'CS Rates'!AC59)</f>
        <v>810.819</v>
      </c>
      <c r="AD59">
        <f>kWh!AD59*('Elec Rates'!AD59-'CS Rates'!AD59)</f>
        <v>580.2539999999999</v>
      </c>
      <c r="AE59">
        <f>kWh!AE59*('Elec Rates'!AE59-'CS Rates'!AE59)</f>
        <v>322.176</v>
      </c>
      <c r="AF59">
        <f>kWh!AF59*('Elec Rates'!AF59-'CS Rates'!AF59)</f>
        <v>133.66</v>
      </c>
      <c r="AG59">
        <f>kWh!AG59*('Elec Rates'!AG59-'CS Rates'!AG59)</f>
        <v>170.47599999999994</v>
      </c>
      <c r="AH59">
        <f>kWh!AH59*('Elec Rates'!AH59-'CS Rates'!AH59)</f>
        <v>285.94399999999996</v>
      </c>
      <c r="AI59">
        <f>kWh!AI59*('Elec Rates'!AI59-'CS Rates'!AI59)</f>
        <v>3.562000000000003</v>
      </c>
      <c r="AJ59">
        <f>kWh!AJ59*('Elec Rates'!AJ59-'CS Rates'!AJ59)</f>
        <v>16.08</v>
      </c>
      <c r="AK59">
        <f>kWh!AK59*('Elec Rates'!AK59-'CS Rates'!AK59)</f>
        <v>0</v>
      </c>
      <c r="AL59">
        <f>kWh!AL59*('Elec Rates'!AL59-'CS Rates'!AL59)</f>
        <v>0</v>
      </c>
      <c r="AM59">
        <f>kWh!AM59*('Elec Rates'!AM59-'CS Rates'!AM59)</f>
        <v>0</v>
      </c>
      <c r="AN59">
        <f>kWh!AN59*('Elec Rates'!AN59-'CS Rates'!AN59)</f>
        <v>0</v>
      </c>
      <c r="AO59">
        <f>kWh!AO59*('Elec Rates'!AO59-'CS Rates'!AO59)</f>
        <v>0</v>
      </c>
      <c r="AP59">
        <f>kWh!AP59*('Elec Rates'!AP59-'CS Rates'!AP59)</f>
        <v>0</v>
      </c>
      <c r="AQ59">
        <f>SUM(B59:AP59)</f>
        <v>7485.160499999998</v>
      </c>
    </row>
    <row r="60">
      <c r="A60">
        <v>46023</v>
      </c>
      <c r="B60">
        <f>kWh!B60*('Elec Rates'!B60-'CS Rates'!B60)</f>
        <v>178.2675</v>
      </c>
      <c r="C60">
        <f>kWh!C60*('Elec Rates'!C60-'CS Rates'!C60)</f>
        <v>247.93649999999997</v>
      </c>
      <c r="D60">
        <f>kWh!D60*('Elec Rates'!D60-'CS Rates'!D60)</f>
        <v>313.8377</v>
      </c>
      <c r="E60">
        <f>kWh!E60*('Elec Rates'!E60-'CS Rates'!E60)</f>
        <v>267.61889999999994</v>
      </c>
      <c r="F60">
        <f>kWh!F60*('Elec Rates'!F60-'CS Rates'!F60)</f>
        <v>237.48539999999997</v>
      </c>
      <c r="G60">
        <f>kWh!G60*('Elec Rates'!G60-'CS Rates'!G60)</f>
        <v>81.32790000000001</v>
      </c>
      <c r="H60">
        <f>kWh!H60*('Elec Rates'!H60-'CS Rates'!H60)</f>
        <v>472.26640000000003</v>
      </c>
      <c r="I60">
        <f>kWh!I60*('Elec Rates'!I60-'CS Rates'!I60)</f>
        <v>81.86399999999998</v>
      </c>
      <c r="J60">
        <f>kWh!J60*('Elec Rates'!J60-'CS Rates'!J60)</f>
        <v>19.12199999999993</v>
      </c>
      <c r="K60">
        <f>kWh!K60*('Elec Rates'!K60-'CS Rates'!K60)</f>
        <v>114.13199999999983</v>
      </c>
      <c r="L60">
        <f>kWh!L60*('Elec Rates'!L60-'CS Rates'!L60)</f>
        <v>-46.49600000000004</v>
      </c>
      <c r="M60">
        <f>kWh!M60*('Elec Rates'!M60-'CS Rates'!M60)</f>
        <v>163.48499999999999</v>
      </c>
      <c r="N60">
        <f>kWh!N60*('Elec Rates'!N60-'CS Rates'!N60)</f>
        <v>615.2579999999998</v>
      </c>
      <c r="O60">
        <f>kWh!O60*('Elec Rates'!O60-'CS Rates'!O60)</f>
        <v>42.56199999999997</v>
      </c>
      <c r="P60">
        <f>kWh!P60*('Elec Rates'!P60-'CS Rates'!P60)</f>
        <v>-7.652000000000006</v>
      </c>
      <c r="Q60">
        <f>kWh!Q60*('Elec Rates'!Q60-'CS Rates'!Q60)</f>
        <v>351.6799999999999</v>
      </c>
      <c r="R60">
        <f>kWh!R60*('Elec Rates'!R60-'CS Rates'!R60)</f>
        <v>465.231</v>
      </c>
      <c r="S60">
        <f>kWh!S60*('Elec Rates'!S60-'CS Rates'!S60)</f>
        <v>108.34999999999995</v>
      </c>
      <c r="T60">
        <f>kWh!T60*('Elec Rates'!T60-'CS Rates'!T60)</f>
        <v>176.84999999999997</v>
      </c>
      <c r="U60">
        <f>kWh!U60*('Elec Rates'!U60-'CS Rates'!U60)</f>
        <v>108.03999999999998</v>
      </c>
      <c r="V60">
        <f>kWh!V60*('Elec Rates'!V60-'CS Rates'!V60)</f>
        <v>348.25</v>
      </c>
      <c r="W60">
        <f>kWh!W60*('Elec Rates'!W60-'CS Rates'!W60)</f>
        <v>167.52399999999992</v>
      </c>
      <c r="X60">
        <f>kWh!X60*('Elec Rates'!X60-'CS Rates'!X60)</f>
        <v>333.53999999999985</v>
      </c>
      <c r="Y60">
        <f>kWh!Y60*('Elec Rates'!Y60-'CS Rates'!Y60)</f>
        <v>201.39000000000001</v>
      </c>
      <c r="Z60">
        <f>kWh!Z60*('Elec Rates'!Z60-'CS Rates'!Z60)</f>
        <v>26.795999999999996</v>
      </c>
      <c r="AA60">
        <f>kWh!AA60*('Elec Rates'!AA60-'CS Rates'!AA60)</f>
        <v>412.1909999999999</v>
      </c>
      <c r="AB60">
        <f>kWh!AB60*('Elec Rates'!AB60-'CS Rates'!AB60)</f>
        <v>0</v>
      </c>
      <c r="AC60">
        <f>kWh!AC60*('Elec Rates'!AC60-'CS Rates'!AC60)</f>
        <v>906.5639999999997</v>
      </c>
      <c r="AD60">
        <f>kWh!AD60*('Elec Rates'!AD60-'CS Rates'!AD60)</f>
        <v>630.0149999999999</v>
      </c>
      <c r="AE60">
        <f>kWh!AE60*('Elec Rates'!AE60-'CS Rates'!AE60)</f>
        <v>408.76</v>
      </c>
      <c r="AF60">
        <f>kWh!AF60*('Elec Rates'!AF60-'CS Rates'!AF60)</f>
        <v>184.986</v>
      </c>
      <c r="AG60">
        <f>kWh!AG60*('Elec Rates'!AG60-'CS Rates'!AG60)</f>
        <v>199.64799999999994</v>
      </c>
      <c r="AH60">
        <f>kWh!AH60*('Elec Rates'!AH60-'CS Rates'!AH60)</f>
        <v>354.105</v>
      </c>
      <c r="AI60">
        <f>kWh!AI60*('Elec Rates'!AI60-'CS Rates'!AI60)</f>
        <v>0</v>
      </c>
      <c r="AJ60">
        <f>kWh!AJ60*('Elec Rates'!AJ60-'CS Rates'!AJ60)</f>
        <v>181.818</v>
      </c>
      <c r="AK60">
        <f>kWh!AK60*('Elec Rates'!AK60-'CS Rates'!AK60)</f>
        <v>20.12499999999996</v>
      </c>
      <c r="AL60">
        <f>kWh!AL60*('Elec Rates'!AL60-'CS Rates'!AL60)</f>
        <v>-38.025</v>
      </c>
      <c r="AM60">
        <f>kWh!AM60*('Elec Rates'!AM60-'CS Rates'!AM60)</f>
        <v>0</v>
      </c>
      <c r="AN60">
        <f>kWh!AN60*('Elec Rates'!AN60-'CS Rates'!AN60)</f>
        <v>0</v>
      </c>
      <c r="AO60">
        <f>kWh!AO60*('Elec Rates'!AO60-'CS Rates'!AO60)</f>
        <v>0</v>
      </c>
      <c r="AP60">
        <f>kWh!AP60*('Elec Rates'!AP60-'CS Rates'!AP60)</f>
        <v>0</v>
      </c>
      <c r="AQ60">
        <f>SUM(B60:AP60)</f>
        <v>8328.853299999999</v>
      </c>
    </row>
    <row r="61">
      <c r="A61">
        <v>46054</v>
      </c>
      <c r="B61">
        <f>kWh!B61*('Elec Rates'!B61-'CS Rates'!B61)</f>
        <v>244.52119999999996</v>
      </c>
      <c r="C61">
        <f>kWh!C61*('Elec Rates'!C61-'CS Rates'!C61)</f>
        <v>368.4162999999999</v>
      </c>
      <c r="D61">
        <f>kWh!D61*('Elec Rates'!D61-'CS Rates'!D61)</f>
        <v>385.39140000000003</v>
      </c>
      <c r="E61">
        <f>kWh!E61*('Elec Rates'!E61-'CS Rates'!E61)</f>
        <v>331.82769999999994</v>
      </c>
      <c r="F61">
        <f>kWh!F61*('Elec Rates'!F61-'CS Rates'!F61)</f>
        <v>377.68639999999994</v>
      </c>
      <c r="G61">
        <f>kWh!G61*('Elec Rates'!G61-'CS Rates'!G61)</f>
        <v>100.06059999999998</v>
      </c>
      <c r="H61">
        <f>kWh!H61*('Elec Rates'!H61-'CS Rates'!H61)</f>
        <v>604.8632</v>
      </c>
      <c r="I61">
        <f>kWh!I61*('Elec Rates'!I61-'CS Rates'!I61)</f>
        <v>117.58799999999998</v>
      </c>
      <c r="J61">
        <f>kWh!J61*('Elec Rates'!J61-'CS Rates'!J61)</f>
        <v>67.12199999999996</v>
      </c>
      <c r="K61">
        <f>kWh!K61*('Elec Rates'!K61-'CS Rates'!K61)</f>
        <v>705.0299999999996</v>
      </c>
      <c r="L61">
        <f>kWh!L61*('Elec Rates'!L61-'CS Rates'!L61)</f>
        <v>-26.462000000000025</v>
      </c>
      <c r="M61">
        <f>kWh!M61*('Elec Rates'!M61-'CS Rates'!M61)</f>
        <v>267.5399999999999</v>
      </c>
      <c r="N61">
        <f>kWh!N61*('Elec Rates'!N61-'CS Rates'!N61)</f>
        <v>1014.586</v>
      </c>
      <c r="O61">
        <f>kWh!O61*('Elec Rates'!O61-'CS Rates'!O61)</f>
        <v>87.78</v>
      </c>
      <c r="P61">
        <f>kWh!P61*('Elec Rates'!P61-'CS Rates'!P61)</f>
        <v>26.78999999999996</v>
      </c>
      <c r="Q61">
        <f>kWh!Q61*('Elec Rates'!Q61-'CS Rates'!Q61)</f>
        <v>682.248</v>
      </c>
      <c r="R61">
        <f>kWh!R61*('Elec Rates'!R61-'CS Rates'!R61)</f>
        <v>619.3950000000001</v>
      </c>
      <c r="S61">
        <f>kWh!S61*('Elec Rates'!S61-'CS Rates'!S61)</f>
        <v>168.25899999999996</v>
      </c>
      <c r="T61">
        <f>kWh!T61*('Elec Rates'!T61-'CS Rates'!T61)</f>
        <v>329.868</v>
      </c>
      <c r="U61">
        <f>kWh!U61*('Elec Rates'!U61-'CS Rates'!U61)</f>
        <v>216.05999999999997</v>
      </c>
      <c r="V61">
        <f>kWh!V61*('Elec Rates'!V61-'CS Rates'!V61)</f>
        <v>479.82599999999985</v>
      </c>
      <c r="W61">
        <f>kWh!W61*('Elec Rates'!W61-'CS Rates'!W61)</f>
        <v>463.18199999999985</v>
      </c>
      <c r="X61">
        <f>kWh!X61*('Elec Rates'!X61-'CS Rates'!X61)</f>
        <v>377.5239999999998</v>
      </c>
      <c r="Y61">
        <f>kWh!Y61*('Elec Rates'!Y61-'CS Rates'!Y61)</f>
        <v>233.49</v>
      </c>
      <c r="Z61">
        <f>kWh!Z61*('Elec Rates'!Z61-'CS Rates'!Z61)</f>
        <v>146.25799999999995</v>
      </c>
      <c r="AA61">
        <f>kWh!AA61*('Elec Rates'!AA61-'CS Rates'!AA61)</f>
        <v>685.9620000000001</v>
      </c>
      <c r="AB61">
        <f>kWh!AB61*('Elec Rates'!AB61-'CS Rates'!AB61)</f>
        <v>8.01199999999998</v>
      </c>
      <c r="AC61">
        <f>kWh!AC61*('Elec Rates'!AC61-'CS Rates'!AC61)</f>
        <v>1137.829</v>
      </c>
      <c r="AD61">
        <f>kWh!AD61*('Elec Rates'!AD61-'CS Rates'!AD61)</f>
        <v>747.966</v>
      </c>
      <c r="AE61">
        <f>kWh!AE61*('Elec Rates'!AE61-'CS Rates'!AE61)</f>
        <v>472.188</v>
      </c>
      <c r="AF61">
        <f>kWh!AF61*('Elec Rates'!AF61-'CS Rates'!AF61)</f>
        <v>210.128</v>
      </c>
      <c r="AG61">
        <f>kWh!AG61*('Elec Rates'!AG61-'CS Rates'!AG61)</f>
        <v>235.58499999999992</v>
      </c>
      <c r="AH61">
        <f>kWh!AH61*('Elec Rates'!AH61-'CS Rates'!AH61)</f>
        <v>415.488</v>
      </c>
      <c r="AI61">
        <f>kWh!AI61*('Elec Rates'!AI61-'CS Rates'!AI61)</f>
        <v>31.16299999999999</v>
      </c>
      <c r="AJ61">
        <f>kWh!AJ61*('Elec Rates'!AJ61-'CS Rates'!AJ61)</f>
        <v>241.68</v>
      </c>
      <c r="AK61">
        <f>kWh!AK61*('Elec Rates'!AK61-'CS Rates'!AK61)</f>
        <v>45.29699999999995</v>
      </c>
      <c r="AL61">
        <f>kWh!AL61*('Elec Rates'!AL61-'CS Rates'!AL61)</f>
        <v>-62.842000000000056</v>
      </c>
      <c r="AM61">
        <f>kWh!AM61*('Elec Rates'!AM61-'CS Rates'!AM61)</f>
        <v>0</v>
      </c>
      <c r="AN61">
        <f>kWh!AN61*('Elec Rates'!AN61-'CS Rates'!AN61)</f>
        <v>122.07399999999998</v>
      </c>
      <c r="AO61">
        <f>kWh!AO61*('Elec Rates'!AO61-'CS Rates'!AO61)</f>
        <v>0</v>
      </c>
      <c r="AP61">
        <f>kWh!AP61*('Elec Rates'!AP61-'CS Rates'!AP61)</f>
        <v>0</v>
      </c>
      <c r="AQ61">
        <f>SUM(B61:AP61)</f>
        <v>12679.3808</v>
      </c>
    </row>
    <row r="62">
      <c r="A62">
        <v>46082</v>
      </c>
      <c r="B62">
        <f>kWh!B62*('Elec Rates'!B62-'CS Rates'!B62)</f>
        <v>335.3922999999999</v>
      </c>
      <c r="C62">
        <f>kWh!C62*('Elec Rates'!C62-'CS Rates'!C62)</f>
        <v>580.1256999999999</v>
      </c>
      <c r="D62">
        <f>kWh!D62*('Elec Rates'!D62-'CS Rates'!D62)</f>
        <v>583.7819999999998</v>
      </c>
      <c r="E62">
        <f>kWh!E62*('Elec Rates'!E62-'CS Rates'!E62)</f>
        <v>403.1932</v>
      </c>
      <c r="F62">
        <f>kWh!F62*('Elec Rates'!F62-'CS Rates'!F62)</f>
        <v>605.871</v>
      </c>
      <c r="G62">
        <f>kWh!G62*('Elec Rates'!G62-'CS Rates'!G62)</f>
        <v>131.9208</v>
      </c>
      <c r="H62">
        <f>kWh!H62*('Elec Rates'!H62-'CS Rates'!H62)</f>
        <v>824.36</v>
      </c>
      <c r="I62">
        <f>kWh!I62*('Elec Rates'!I62-'CS Rates'!I62)</f>
        <v>193.44</v>
      </c>
      <c r="J62">
        <f>kWh!J62*('Elec Rates'!J62-'CS Rates'!J62)</f>
        <v>241.20000000000007</v>
      </c>
      <c r="K62">
        <f>kWh!K62*('Elec Rates'!K62-'CS Rates'!K62)</f>
        <v>806.6000000000003</v>
      </c>
      <c r="L62">
        <f>kWh!L62*('Elec Rates'!L62-'CS Rates'!L62)</f>
        <v>34.76000000000003</v>
      </c>
      <c r="M62">
        <f>kWh!M62*('Elec Rates'!M62-'CS Rates'!M62)</f>
        <v>330.65699999999987</v>
      </c>
      <c r="N62">
        <f>kWh!N62*('Elec Rates'!N62-'CS Rates'!N62)</f>
        <v>1041.9839999999997</v>
      </c>
      <c r="O62">
        <f>kWh!O62*('Elec Rates'!O62-'CS Rates'!O62)</f>
        <v>88.41199999999996</v>
      </c>
      <c r="P62">
        <f>kWh!P62*('Elec Rates'!P62-'CS Rates'!P62)</f>
        <v>117.23000000000002</v>
      </c>
      <c r="Q62">
        <f>kWh!Q62*('Elec Rates'!Q62-'CS Rates'!Q62)</f>
        <v>531.1039999999998</v>
      </c>
      <c r="R62">
        <f>kWh!R62*('Elec Rates'!R62-'CS Rates'!R62)</f>
        <v>842.878</v>
      </c>
      <c r="S62">
        <f>kWh!S62*('Elec Rates'!S62-'CS Rates'!S62)</f>
        <v>265.11</v>
      </c>
      <c r="T62">
        <f>kWh!T62*('Elec Rates'!T62-'CS Rates'!T62)</f>
        <v>525.8249999999999</v>
      </c>
      <c r="U62">
        <f>kWh!U62*('Elec Rates'!U62-'CS Rates'!U62)</f>
        <v>-14.100000000000012</v>
      </c>
      <c r="V62">
        <f>kWh!V62*('Elec Rates'!V62-'CS Rates'!V62)</f>
        <v>361.1689999999999</v>
      </c>
      <c r="W62">
        <f>kWh!W62*('Elec Rates'!W62-'CS Rates'!W62)</f>
        <v>803.04</v>
      </c>
      <c r="X62">
        <f>kWh!X62*('Elec Rates'!X62-'CS Rates'!X62)</f>
        <v>1399.321</v>
      </c>
      <c r="Y62">
        <f>kWh!Y62*('Elec Rates'!Y62-'CS Rates'!Y62)</f>
        <v>273.2</v>
      </c>
      <c r="Z62">
        <f>kWh!Z62*('Elec Rates'!Z62-'CS Rates'!Z62)</f>
        <v>139.152</v>
      </c>
      <c r="AA62">
        <f>kWh!AA62*('Elec Rates'!AA62-'CS Rates'!AA62)</f>
        <v>505.1759999999997</v>
      </c>
      <c r="AB62">
        <f>kWh!AB62*('Elec Rates'!AB62-'CS Rates'!AB62)</f>
        <v>9.155999999999965</v>
      </c>
      <c r="AC62">
        <f>kWh!AC62*('Elec Rates'!AC62-'CS Rates'!AC62)</f>
        <v>1208.6099999999997</v>
      </c>
      <c r="AD62">
        <f>kWh!AD62*('Elec Rates'!AD62-'CS Rates'!AD62)</f>
        <v>911.5959999999999</v>
      </c>
      <c r="AE62">
        <f>kWh!AE62*('Elec Rates'!AE62-'CS Rates'!AE62)</f>
        <v>614.346</v>
      </c>
      <c r="AF62">
        <f>kWh!AF62*('Elec Rates'!AF62-'CS Rates'!AF62)</f>
        <v>148.68000000000004</v>
      </c>
      <c r="AG62">
        <f>kWh!AG62*('Elec Rates'!AG62-'CS Rates'!AG62)</f>
        <v>279.26999999999987</v>
      </c>
      <c r="AH62">
        <f>kWh!AH62*('Elec Rates'!AH62-'CS Rates'!AH62)</f>
        <v>547.646</v>
      </c>
      <c r="AI62">
        <f>kWh!AI62*('Elec Rates'!AI62-'CS Rates'!AI62)</f>
        <v>128.69999999999993</v>
      </c>
      <c r="AJ62">
        <f>kWh!AJ62*('Elec Rates'!AJ62-'CS Rates'!AJ62)</f>
        <v>326.298</v>
      </c>
      <c r="AK62">
        <f>kWh!AK62*('Elec Rates'!AK62-'CS Rates'!AK62)</f>
        <v>18.884000000000018</v>
      </c>
      <c r="AL62">
        <f>kWh!AL62*('Elec Rates'!AL62-'CS Rates'!AL62)</f>
        <v>-114.30000000000001</v>
      </c>
      <c r="AM62">
        <f>kWh!AM62*('Elec Rates'!AM62-'CS Rates'!AM62)</f>
        <v>0</v>
      </c>
      <c r="AN62">
        <f>kWh!AN62*('Elec Rates'!AN62-'CS Rates'!AN62)</f>
        <v>616.743</v>
      </c>
      <c r="AO62">
        <f>kWh!AO62*('Elec Rates'!AO62-'CS Rates'!AO62)</f>
        <v>0</v>
      </c>
      <c r="AP62">
        <f>kWh!AP62*('Elec Rates'!AP62-'CS Rates'!AP62)</f>
        <v>285.47099999999995</v>
      </c>
      <c r="AQ62">
        <f>SUM(B62:AP62)</f>
        <v>16931.903000000002</v>
      </c>
    </row>
    <row r="63">
      <c r="A63">
        <v>46113</v>
      </c>
      <c r="B63">
        <f>kWh!B63*('Elec Rates'!B63-'CS Rates'!B63)</f>
        <v>426.56000000000006</v>
      </c>
      <c r="C63">
        <f>kWh!C63*('Elec Rates'!C63-'CS Rates'!C63)</f>
        <v>564.5764</v>
      </c>
      <c r="D63">
        <f>kWh!D63*('Elec Rates'!D63-'CS Rates'!D63)</f>
        <v>558.6984000000001</v>
      </c>
      <c r="E63">
        <f>kWh!E63*('Elec Rates'!E63-'CS Rates'!E63)</f>
        <v>764.1717000000001</v>
      </c>
      <c r="F63">
        <f>kWh!F63*('Elec Rates'!F63-'CS Rates'!F63)</f>
        <v>719.5224000000001</v>
      </c>
      <c r="G63">
        <f>kWh!G63*('Elec Rates'!G63-'CS Rates'!G63)</f>
        <v>161.74749999999995</v>
      </c>
      <c r="H63">
        <f>kWh!H63*('Elec Rates'!H63-'CS Rates'!H63)</f>
        <v>903.9630999999999</v>
      </c>
      <c r="I63">
        <f>kWh!I63*('Elec Rates'!I63-'CS Rates'!I63)</f>
        <v>100.40800000000003</v>
      </c>
      <c r="J63">
        <f>kWh!J63*('Elec Rates'!J63-'CS Rates'!J63)</f>
        <v>276.6670000000001</v>
      </c>
      <c r="K63">
        <f>kWh!K63*('Elec Rates'!K63-'CS Rates'!K63)</f>
        <v>1397.1569999999997</v>
      </c>
      <c r="L63">
        <f>kWh!L63*('Elec Rates'!L63-'CS Rates'!L63)</f>
        <v>363.69000000000005</v>
      </c>
      <c r="M63">
        <f>kWh!M63*('Elec Rates'!M63-'CS Rates'!M63)</f>
        <v>734.1179999999999</v>
      </c>
      <c r="N63">
        <f>kWh!N63*('Elec Rates'!N63-'CS Rates'!N63)</f>
        <v>918.95</v>
      </c>
      <c r="O63">
        <f>kWh!O63*('Elec Rates'!O63-'CS Rates'!O63)</f>
        <v>94.21999999999994</v>
      </c>
      <c r="P63">
        <f>kWh!P63*('Elec Rates'!P63-'CS Rates'!P63)</f>
        <v>-14.234000000000012</v>
      </c>
      <c r="Q63">
        <f>kWh!Q63*('Elec Rates'!Q63-'CS Rates'!Q63)</f>
        <v>539.5879999999996</v>
      </c>
      <c r="R63">
        <f>kWh!R63*('Elec Rates'!R63-'CS Rates'!R63)</f>
        <v>856.8</v>
      </c>
      <c r="S63">
        <f>kWh!S63*('Elec Rates'!S63-'CS Rates'!S63)</f>
        <v>-163.66400000000016</v>
      </c>
      <c r="T63">
        <f>kWh!T63*('Elec Rates'!T63-'CS Rates'!T63)</f>
        <v>621.0269999999999</v>
      </c>
      <c r="U63">
        <f>kWh!U63*('Elec Rates'!U63-'CS Rates'!U63)</f>
        <v>-130.52500000000003</v>
      </c>
      <c r="V63">
        <f>kWh!V63*('Elec Rates'!V63-'CS Rates'!V63)</f>
        <v>632.6840000000001</v>
      </c>
      <c r="W63">
        <f>kWh!W63*('Elec Rates'!W63-'CS Rates'!W63)</f>
        <v>1251.988</v>
      </c>
      <c r="X63">
        <f>kWh!X63*('Elec Rates'!X63-'CS Rates'!X63)</f>
        <v>1423.5539999999999</v>
      </c>
      <c r="Y63">
        <f>kWh!Y63*('Elec Rates'!Y63-'CS Rates'!Y63)</f>
        <v>175.12000000000003</v>
      </c>
      <c r="Z63">
        <f>kWh!Z63*('Elec Rates'!Z63-'CS Rates'!Z63)</f>
        <v>116.20299999999993</v>
      </c>
      <c r="AA63">
        <f>kWh!AA63*('Elec Rates'!AA63-'CS Rates'!AA63)</f>
        <v>445.6200000000001</v>
      </c>
      <c r="AB63">
        <f>kWh!AB63*('Elec Rates'!AB63-'CS Rates'!AB63)</f>
        <v>40.77699999999999</v>
      </c>
      <c r="AC63">
        <f>kWh!AC63*('Elec Rates'!AC63-'CS Rates'!AC63)</f>
        <v>572.6879999999999</v>
      </c>
      <c r="AD63">
        <f>kWh!AD63*('Elec Rates'!AD63-'CS Rates'!AD63)</f>
        <v>1126.008</v>
      </c>
      <c r="AE63">
        <f>kWh!AE63*('Elec Rates'!AE63-'CS Rates'!AE63)</f>
        <v>784.845</v>
      </c>
      <c r="AF63">
        <f>kWh!AF63*('Elec Rates'!AF63-'CS Rates'!AF63)</f>
        <v>212.37600000000006</v>
      </c>
      <c r="AG63">
        <f>kWh!AG63*('Elec Rates'!AG63-'CS Rates'!AG63)</f>
        <v>337.2699999999998</v>
      </c>
      <c r="AH63">
        <f>kWh!AH63*('Elec Rates'!AH63-'CS Rates'!AH63)</f>
        <v>649.194</v>
      </c>
      <c r="AI63">
        <f>kWh!AI63*('Elec Rates'!AI63-'CS Rates'!AI63)</f>
        <v>257.44800000000004</v>
      </c>
      <c r="AJ63">
        <f>kWh!AJ63*('Elec Rates'!AJ63-'CS Rates'!AJ63)</f>
        <v>339.8909999999999</v>
      </c>
      <c r="AK63">
        <f>kWh!AK63*('Elec Rates'!AK63-'CS Rates'!AK63)</f>
        <v>155.38899999999998</v>
      </c>
      <c r="AL63">
        <f>kWh!AL63*('Elec Rates'!AL63-'CS Rates'!AL63)</f>
        <v>-127.09200000000001</v>
      </c>
      <c r="AM63">
        <f>kWh!AM63*('Elec Rates'!AM63-'CS Rates'!AM63)</f>
        <v>0</v>
      </c>
      <c r="AN63">
        <f>kWh!AN63*('Elec Rates'!AN63-'CS Rates'!AN63)</f>
        <v>831.3</v>
      </c>
      <c r="AO63">
        <f>kWh!AO63*('Elec Rates'!AO63-'CS Rates'!AO63)</f>
        <v>6.400999999999999</v>
      </c>
      <c r="AP63">
        <f>kWh!AP63*('Elec Rates'!AP63-'CS Rates'!AP63)</f>
        <v>360.0199999999999</v>
      </c>
      <c r="AQ63">
        <f>SUM(B63:AP63)</f>
        <v>19285.1255</v>
      </c>
    </row>
    <row r="64">
      <c r="A64">
        <v>46143</v>
      </c>
      <c r="B64">
        <f>kWh!B64*('Elec Rates'!B64-'CS Rates'!B64)</f>
        <v>333.8400000000001</v>
      </c>
      <c r="C64">
        <f>kWh!C64*('Elec Rates'!C64-'CS Rates'!C64)</f>
        <v>464.3442000000001</v>
      </c>
      <c r="D64">
        <f>kWh!D64*('Elec Rates'!D64-'CS Rates'!D64)</f>
        <v>448.93460000000005</v>
      </c>
      <c r="E64">
        <f>kWh!E64*('Elec Rates'!E64-'CS Rates'!E64)</f>
        <v>538.1349999999999</v>
      </c>
      <c r="F64">
        <f>kWh!F64*('Elec Rates'!F64-'CS Rates'!F64)</f>
        <v>609.1848</v>
      </c>
      <c r="G64">
        <f>kWh!G64*('Elec Rates'!G64-'CS Rates'!G64)</f>
        <v>128.671</v>
      </c>
      <c r="H64">
        <f>kWh!H64*('Elec Rates'!H64-'CS Rates'!H64)</f>
        <v>682.7924999999998</v>
      </c>
      <c r="I64">
        <f>kWh!I64*('Elec Rates'!I64-'CS Rates'!I64)</f>
        <v>7.031199999999972</v>
      </c>
      <c r="J64">
        <f>kWh!J64*('Elec Rates'!J64-'CS Rates'!J64)</f>
        <v>173.92460000000005</v>
      </c>
      <c r="K64">
        <f>kWh!K64*('Elec Rates'!K64-'CS Rates'!K64)</f>
        <v>1149.3068999999998</v>
      </c>
      <c r="L64">
        <f>kWh!L64*('Elec Rates'!L64-'CS Rates'!L64)</f>
        <v>139.89359999999996</v>
      </c>
      <c r="M64">
        <f>kWh!M64*('Elec Rates'!M64-'CS Rates'!M64)</f>
        <v>489.50309999999996</v>
      </c>
      <c r="N64">
        <f>kWh!N64*('Elec Rates'!N64-'CS Rates'!N64)</f>
        <v>463.6519999999997</v>
      </c>
      <c r="O64">
        <f>kWh!O64*('Elec Rates'!O64-'CS Rates'!O64)</f>
        <v>27.53099999999998</v>
      </c>
      <c r="P64">
        <f>kWh!P64*('Elec Rates'!P64-'CS Rates'!P64)</f>
        <v>51.81599999999995</v>
      </c>
      <c r="Q64">
        <f>kWh!Q64*('Elec Rates'!Q64-'CS Rates'!Q64)</f>
        <v>872.445</v>
      </c>
      <c r="R64">
        <f>kWh!R64*('Elec Rates'!R64-'CS Rates'!R64)</f>
        <v>629.1169999999998</v>
      </c>
      <c r="S64">
        <f>kWh!S64*('Elec Rates'!S64-'CS Rates'!S64)</f>
        <v>-56.04900000000005</v>
      </c>
      <c r="T64">
        <f>kWh!T64*('Elec Rates'!T64-'CS Rates'!T64)</f>
        <v>485.94</v>
      </c>
      <c r="U64">
        <f>kWh!U64*('Elec Rates'!U64-'CS Rates'!U64)</f>
        <v>94.75200000000001</v>
      </c>
      <c r="V64">
        <f>kWh!V64*('Elec Rates'!V64-'CS Rates'!V64)</f>
        <v>461.2789999999999</v>
      </c>
      <c r="W64">
        <f>kWh!W64*('Elec Rates'!W64-'CS Rates'!W64)</f>
        <v>1102.0800000000002</v>
      </c>
      <c r="X64">
        <f>kWh!X64*('Elec Rates'!X64-'CS Rates'!X64)</f>
        <v>1039.913</v>
      </c>
      <c r="Y64">
        <f>kWh!Y64*('Elec Rates'!Y64-'CS Rates'!Y64)</f>
        <v>221.04</v>
      </c>
      <c r="Z64">
        <f>kWh!Z64*('Elec Rates'!Z64-'CS Rates'!Z64)</f>
        <v>138.88999999999996</v>
      </c>
      <c r="AA64">
        <f>kWh!AA64*('Elec Rates'!AA64-'CS Rates'!AA64)</f>
        <v>177.75899999999987</v>
      </c>
      <c r="AB64">
        <f>kWh!AB64*('Elec Rates'!AB64-'CS Rates'!AB64)</f>
        <v>14.255999999999963</v>
      </c>
      <c r="AC64">
        <f>kWh!AC64*('Elec Rates'!AC64-'CS Rates'!AC64)</f>
        <v>843.6779999999997</v>
      </c>
      <c r="AD64">
        <f>kWh!AD64*('Elec Rates'!AD64-'CS Rates'!AD64)</f>
        <v>991.0739999999998</v>
      </c>
      <c r="AE64">
        <f>kWh!AE64*('Elec Rates'!AE64-'CS Rates'!AE64)</f>
        <v>711.646</v>
      </c>
      <c r="AF64">
        <f>kWh!AF64*('Elec Rates'!AF64-'CS Rates'!AF64)</f>
        <v>98.59199999999997</v>
      </c>
      <c r="AG64">
        <f>kWh!AG64*('Elec Rates'!AG64-'CS Rates'!AG64)</f>
        <v>96.31799999999994</v>
      </c>
      <c r="AH64">
        <f>kWh!AH64*('Elec Rates'!AH64-'CS Rates'!AH64)</f>
        <v>594.8810000000001</v>
      </c>
      <c r="AI64">
        <f>kWh!AI64*('Elec Rates'!AI64-'CS Rates'!AI64)</f>
        <v>306.36799999999994</v>
      </c>
      <c r="AJ64">
        <f>kWh!AJ64*('Elec Rates'!AJ64-'CS Rates'!AJ64)</f>
        <v>472.15000000000003</v>
      </c>
      <c r="AK64">
        <f>kWh!AK64*('Elec Rates'!AK64-'CS Rates'!AK64)</f>
        <v>125.32299999999995</v>
      </c>
      <c r="AL64">
        <f>kWh!AL64*('Elec Rates'!AL64-'CS Rates'!AL64)</f>
        <v>-74.40400000000007</v>
      </c>
      <c r="AM64">
        <f>kWh!AM64*('Elec Rates'!AM64-'CS Rates'!AM64)</f>
        <v>21.15999999999999</v>
      </c>
      <c r="AN64">
        <f>kWh!AN64*('Elec Rates'!AN64-'CS Rates'!AN64)</f>
        <v>741.0239999999999</v>
      </c>
      <c r="AO64">
        <f>kWh!AO64*('Elec Rates'!AO64-'CS Rates'!AO64)</f>
        <v>83.55599999999998</v>
      </c>
      <c r="AP64">
        <f>kWh!AP64*('Elec Rates'!AP64-'CS Rates'!AP64)</f>
        <v>375.84</v>
      </c>
      <c r="AQ64">
        <f>SUM(B64:AP64)</f>
        <v>16277.188499999998</v>
      </c>
    </row>
    <row r="65">
      <c r="A65">
        <v>46174</v>
      </c>
      <c r="B65">
        <f>kWh!B65*('Elec Rates'!B65-'CS Rates'!B65)</f>
        <v>918.4782</v>
      </c>
      <c r="C65">
        <f>kWh!C65*('Elec Rates'!C65-'CS Rates'!C65)</f>
        <v>520.2690000000001</v>
      </c>
      <c r="D65">
        <f>kWh!D65*('Elec Rates'!D65-'CS Rates'!D65)</f>
        <v>1411.3603999999998</v>
      </c>
      <c r="E65">
        <f>kWh!E65*('Elec Rates'!E65-'CS Rates'!E65)</f>
        <v>1593.7088999999999</v>
      </c>
      <c r="F65">
        <f>kWh!F65*('Elec Rates'!F65-'CS Rates'!F65)</f>
        <v>635.4952999999999</v>
      </c>
      <c r="G65">
        <f>kWh!G65*('Elec Rates'!G65-'CS Rates'!G65)</f>
        <v>331.5077</v>
      </c>
      <c r="H65">
        <f>kWh!H65*('Elec Rates'!H65-'CS Rates'!H65)</f>
        <v>689.3186999999998</v>
      </c>
      <c r="I65">
        <f>kWh!I65*('Elec Rates'!I65-'CS Rates'!I65)</f>
        <v>27.94569999999999</v>
      </c>
      <c r="J65">
        <f>kWh!J65*('Elec Rates'!J65-'CS Rates'!J65)</f>
        <v>180.59710000000007</v>
      </c>
      <c r="K65">
        <f>kWh!K65*('Elec Rates'!K65-'CS Rates'!K65)</f>
        <v>1382.1317999999999</v>
      </c>
      <c r="L65">
        <f>kWh!L65*('Elec Rates'!L65-'CS Rates'!L65)</f>
        <v>175.7349</v>
      </c>
      <c r="M65">
        <f>kWh!M65*('Elec Rates'!M65-'CS Rates'!M65)</f>
        <v>392.1938999999999</v>
      </c>
      <c r="N65">
        <f>kWh!N65*('Elec Rates'!N65-'CS Rates'!N65)</f>
        <v>330.48720000000014</v>
      </c>
      <c r="O65">
        <f>kWh!O65*('Elec Rates'!O65-'CS Rates'!O65)</f>
        <v>300.4428</v>
      </c>
      <c r="P65">
        <f>kWh!P65*('Elec Rates'!P65-'CS Rates'!P65)</f>
        <v>53.45599999999995</v>
      </c>
      <c r="Q65">
        <f>kWh!Q65*('Elec Rates'!Q65-'CS Rates'!Q65)</f>
        <v>1186.2134999999998</v>
      </c>
      <c r="R65">
        <f>kWh!R65*('Elec Rates'!R65-'CS Rates'!R65)</f>
        <v>322.97299999999984</v>
      </c>
      <c r="S65">
        <f>kWh!S65*('Elec Rates'!S65-'CS Rates'!S65)</f>
        <v>-140.84800000000013</v>
      </c>
      <c r="T65">
        <f>kWh!T65*('Elec Rates'!T65-'CS Rates'!T65)</f>
        <v>541.65</v>
      </c>
      <c r="U65">
        <f>kWh!U65*('Elec Rates'!U65-'CS Rates'!U65)</f>
        <v>98.10000000000001</v>
      </c>
      <c r="V65">
        <f>kWh!V65*('Elec Rates'!V65-'CS Rates'!V65)</f>
        <v>378.98999999999984</v>
      </c>
      <c r="W65">
        <f>kWh!W65*('Elec Rates'!W65-'CS Rates'!W65)</f>
        <v>1127.8870000000002</v>
      </c>
      <c r="X65">
        <f>kWh!X65*('Elec Rates'!X65-'CS Rates'!X65)</f>
        <v>1016.3810000000001</v>
      </c>
      <c r="Y65">
        <f>kWh!Y65*('Elec Rates'!Y65-'CS Rates'!Y65)</f>
        <v>297.3101</v>
      </c>
      <c r="Z65">
        <f>kWh!Z65*('Elec Rates'!Z65-'CS Rates'!Z65)</f>
        <v>142.38599999999997</v>
      </c>
      <c r="AA65">
        <f>kWh!AA65*('Elec Rates'!AA65-'CS Rates'!AA65)</f>
        <v>-242.4699000000001</v>
      </c>
      <c r="AB65">
        <f>kWh!AB65*('Elec Rates'!AB65-'CS Rates'!AB65)</f>
        <v>350.79999999999995</v>
      </c>
      <c r="AC65">
        <f>kWh!AC65*('Elec Rates'!AC65-'CS Rates'!AC65)</f>
        <v>416.848</v>
      </c>
      <c r="AD65">
        <f>kWh!AD65*('Elec Rates'!AD65-'CS Rates'!AD65)</f>
        <v>1024.6</v>
      </c>
      <c r="AE65">
        <f>kWh!AE65*('Elec Rates'!AE65-'CS Rates'!AE65)</f>
        <v>689.185</v>
      </c>
      <c r="AF65">
        <f>kWh!AF65*('Elec Rates'!AF65-'CS Rates'!AF65)</f>
        <v>139.536</v>
      </c>
      <c r="AG65">
        <f>kWh!AG65*('Elec Rates'!AG65-'CS Rates'!AG65)</f>
        <v>98.50499999999994</v>
      </c>
      <c r="AH65">
        <f>kWh!AH65*('Elec Rates'!AH65-'CS Rates'!AH65)</f>
        <v>629.7639999999999</v>
      </c>
      <c r="AI65">
        <f>kWh!AI65*('Elec Rates'!AI65-'CS Rates'!AI65)</f>
        <v>393.41700000000003</v>
      </c>
      <c r="AJ65">
        <f>kWh!AJ65*('Elec Rates'!AJ65-'CS Rates'!AJ65)</f>
        <v>408.87</v>
      </c>
      <c r="AK65">
        <f>kWh!AK65*('Elec Rates'!AK65-'CS Rates'!AK65)</f>
        <v>134.66199999999995</v>
      </c>
      <c r="AL65">
        <f>kWh!AL65*('Elec Rates'!AL65-'CS Rates'!AL65)</f>
        <v>-75.93300000000006</v>
      </c>
      <c r="AM65">
        <f>kWh!AM65*('Elec Rates'!AM65-'CS Rates'!AM65)</f>
        <v>61.20000000000002</v>
      </c>
      <c r="AN65">
        <f>kWh!AN65*('Elec Rates'!AN65-'CS Rates'!AN65)</f>
        <v>358.70599999999996</v>
      </c>
      <c r="AO65">
        <f>kWh!AO65*('Elec Rates'!AO65-'CS Rates'!AO65)</f>
        <v>280.722</v>
      </c>
      <c r="AP65">
        <f>kWh!AP65*('Elec Rates'!AP65-'CS Rates'!AP65)</f>
        <v>377.19</v>
      </c>
      <c r="AQ65">
        <f>SUM(B65:AP65)</f>
        <v>18959.772299999997</v>
      </c>
    </row>
  </sheetData>
  <mergeCells count="1">
    <mergeCell ref="B1:AQ1"/>
  </mergeCells>
  <pageMargins left="0.7" right="0.7" top="0.75" bottom="0.75" header="0.3" footer="0.3"/>
  <ignoredErrors>
    <ignoredError numberStoredAsText="1" sqref="A1:AU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8"/>
  <sheetViews>
    <sheetView workbookViewId="0" rightToLeft="0"/>
  </sheetViews>
  <sheetData>
    <row r="1">
      <c r="A1" t="str">
        <v>Month</v>
      </c>
      <c r="B1" t="str">
        <v>Total kWh Produced</v>
      </c>
      <c r="C1" t="str">
        <v>Total Cost Savings</v>
      </c>
    </row>
    <row r="2">
      <c r="A2">
        <v>44287</v>
      </c>
      <c r="B2">
        <v>22558.3</v>
      </c>
      <c r="C2">
        <v>945.3563999999998</v>
      </c>
    </row>
    <row r="3">
      <c r="A3">
        <v>44317</v>
      </c>
      <c r="B3">
        <v>34844.6</v>
      </c>
      <c r="C3">
        <v>1466.6979999999996</v>
      </c>
    </row>
    <row r="4">
      <c r="A4">
        <v>44348</v>
      </c>
      <c r="B4">
        <v>38075.1</v>
      </c>
      <c r="C4">
        <v>2330.4192</v>
      </c>
    </row>
    <row r="5">
      <c r="A5">
        <v>44378</v>
      </c>
      <c r="B5">
        <v>37293.2</v>
      </c>
      <c r="C5">
        <v>1753.7937999999995</v>
      </c>
    </row>
    <row r="6">
      <c r="A6">
        <v>44409</v>
      </c>
      <c r="B6">
        <v>40100</v>
      </c>
      <c r="C6">
        <v>2284.8728</v>
      </c>
    </row>
    <row r="7">
      <c r="A7">
        <v>44440</v>
      </c>
      <c r="B7">
        <v>26273</v>
      </c>
      <c r="C7">
        <v>1586.779</v>
      </c>
    </row>
    <row r="8">
      <c r="A8">
        <v>44470</v>
      </c>
      <c r="B8">
        <v>35622</v>
      </c>
      <c r="C8">
        <v>1059.9419999999998</v>
      </c>
    </row>
    <row r="9">
      <c r="A9">
        <v>44501</v>
      </c>
      <c r="B9">
        <v>34343</v>
      </c>
      <c r="C9">
        <v>853.2939999999998</v>
      </c>
    </row>
    <row r="10">
      <c r="A10">
        <v>44531</v>
      </c>
      <c r="B10">
        <v>22403</v>
      </c>
      <c r="C10">
        <v>762.9769999999997</v>
      </c>
    </row>
    <row r="11">
      <c r="A11">
        <v>44562</v>
      </c>
      <c r="B11">
        <v>32899</v>
      </c>
      <c r="C11">
        <v>1452.6639999999998</v>
      </c>
    </row>
    <row r="12">
      <c r="A12">
        <v>44593</v>
      </c>
      <c r="B12">
        <v>37556</v>
      </c>
      <c r="C12">
        <v>1846.2939999999996</v>
      </c>
    </row>
    <row r="13">
      <c r="A13">
        <v>44621</v>
      </c>
      <c r="B13">
        <v>60994</v>
      </c>
      <c r="C13">
        <v>2544.5399999999995</v>
      </c>
    </row>
    <row r="14">
      <c r="A14">
        <v>44652</v>
      </c>
      <c r="B14">
        <v>73989</v>
      </c>
      <c r="C14">
        <v>3276.7379999999994</v>
      </c>
    </row>
    <row r="15">
      <c r="A15">
        <v>44682</v>
      </c>
      <c r="B15">
        <v>82210</v>
      </c>
      <c r="C15">
        <v>3585.1880999999994</v>
      </c>
    </row>
    <row r="16">
      <c r="A16">
        <v>44713</v>
      </c>
      <c r="B16">
        <v>83031</v>
      </c>
      <c r="C16">
        <v>6640.0405</v>
      </c>
    </row>
    <row r="17">
      <c r="A17">
        <v>44743</v>
      </c>
      <c r="B17">
        <v>75497.7</v>
      </c>
      <c r="C17">
        <v>5176.03513</v>
      </c>
    </row>
    <row r="18">
      <c r="A18">
        <v>44774</v>
      </c>
      <c r="B18">
        <v>66303.1</v>
      </c>
      <c r="C18">
        <v>4590.11203</v>
      </c>
    </row>
    <row r="19">
      <c r="A19">
        <v>44805</v>
      </c>
      <c r="B19">
        <v>67175.1</v>
      </c>
      <c r="C19">
        <v>4880.2708</v>
      </c>
    </row>
    <row r="20">
      <c r="A20">
        <v>44835</v>
      </c>
      <c r="B20">
        <v>63572</v>
      </c>
      <c r="C20">
        <v>2889.8012</v>
      </c>
    </row>
    <row r="21">
      <c r="A21">
        <v>44866</v>
      </c>
      <c r="B21">
        <v>39497.3</v>
      </c>
      <c r="C21">
        <v>1723.41696</v>
      </c>
    </row>
    <row r="22">
      <c r="A22">
        <v>44896</v>
      </c>
      <c r="B22">
        <v>30863.5</v>
      </c>
      <c r="C22">
        <v>1346.2833</v>
      </c>
    </row>
    <row r="23">
      <c r="A23">
        <v>44927</v>
      </c>
      <c r="B23">
        <v>35734.600000000006</v>
      </c>
      <c r="C23">
        <v>1706.5386400000002</v>
      </c>
    </row>
    <row r="24">
      <c r="A24">
        <v>44958</v>
      </c>
      <c r="B24">
        <v>39531</v>
      </c>
      <c r="C24">
        <v>2025.1536999999998</v>
      </c>
    </row>
    <row r="25">
      <c r="A25">
        <v>44986</v>
      </c>
      <c r="B25">
        <v>62902</v>
      </c>
      <c r="C25">
        <v>2835.0598000000005</v>
      </c>
    </row>
    <row r="26">
      <c r="A26">
        <v>45017</v>
      </c>
      <c r="B26">
        <v>66783</v>
      </c>
      <c r="C26">
        <v>2815.8167000000003</v>
      </c>
    </row>
    <row r="27">
      <c r="A27">
        <v>45047</v>
      </c>
      <c r="B27">
        <v>68807</v>
      </c>
      <c r="C27">
        <v>2696.5263000000004</v>
      </c>
    </row>
    <row r="28">
      <c r="A28">
        <v>45078</v>
      </c>
      <c r="B28">
        <v>69899</v>
      </c>
      <c r="C28">
        <v>4855.9951</v>
      </c>
    </row>
    <row r="29">
      <c r="A29">
        <v>45108</v>
      </c>
      <c r="B29">
        <v>77982</v>
      </c>
      <c r="C29">
        <v>6010.947800000002</v>
      </c>
    </row>
    <row r="30">
      <c r="A30">
        <v>45139</v>
      </c>
      <c r="B30">
        <v>70199</v>
      </c>
      <c r="C30">
        <v>5653.865100000001</v>
      </c>
    </row>
    <row r="31">
      <c r="A31">
        <v>45170</v>
      </c>
      <c r="B31">
        <v>59930</v>
      </c>
      <c r="C31">
        <v>5010.973</v>
      </c>
    </row>
    <row r="32">
      <c r="A32">
        <v>45200</v>
      </c>
      <c r="B32">
        <v>52162</v>
      </c>
      <c r="C32">
        <v>2607.8118000000004</v>
      </c>
    </row>
    <row r="33">
      <c r="A33">
        <v>45231</v>
      </c>
      <c r="B33">
        <v>38980</v>
      </c>
      <c r="C33">
        <v>1888.9540000000002</v>
      </c>
    </row>
    <row r="34">
      <c r="A34">
        <v>45261</v>
      </c>
      <c r="B34">
        <v>32963</v>
      </c>
      <c r="C34">
        <v>1530.4777000000001</v>
      </c>
    </row>
    <row r="35">
      <c r="A35">
        <v>45292</v>
      </c>
      <c r="B35">
        <v>38399</v>
      </c>
      <c r="C35">
        <v>1731.0531000000003</v>
      </c>
    </row>
    <row r="36">
      <c r="A36">
        <v>45323</v>
      </c>
      <c r="B36">
        <v>44088</v>
      </c>
      <c r="C36">
        <v>2130.7632</v>
      </c>
    </row>
    <row r="37">
      <c r="A37">
        <v>45352</v>
      </c>
      <c r="B37">
        <v>56501</v>
      </c>
      <c r="C37">
        <v>2897.7039000000004</v>
      </c>
    </row>
    <row r="38">
      <c r="A38">
        <v>45383</v>
      </c>
      <c r="B38">
        <v>66255</v>
      </c>
      <c r="C38">
        <v>3369.4118</v>
      </c>
    </row>
    <row r="39">
      <c r="A39">
        <v>45413</v>
      </c>
      <c r="B39">
        <v>69913</v>
      </c>
      <c r="C39">
        <v>3840.1072</v>
      </c>
    </row>
    <row r="40">
      <c r="A40">
        <v>45444</v>
      </c>
      <c r="B40">
        <v>81383</v>
      </c>
      <c r="C40">
        <v>7598.8758</v>
      </c>
    </row>
    <row r="41">
      <c r="A41">
        <v>45474</v>
      </c>
      <c r="B41">
        <v>71907</v>
      </c>
      <c r="C41">
        <v>6571.704099999999</v>
      </c>
    </row>
    <row r="42">
      <c r="A42">
        <v>45505</v>
      </c>
      <c r="B42">
        <v>84733</v>
      </c>
      <c r="C42">
        <v>7760.2237</v>
      </c>
    </row>
    <row r="43">
      <c r="A43">
        <v>45536</v>
      </c>
      <c r="B43">
        <v>53062</v>
      </c>
      <c r="C43">
        <v>4622.9669</v>
      </c>
    </row>
    <row r="44">
      <c r="A44">
        <v>45566</v>
      </c>
      <c r="B44">
        <v>63385</v>
      </c>
      <c r="C44">
        <v>3311.9699</v>
      </c>
    </row>
    <row r="45">
      <c r="A45">
        <v>45597</v>
      </c>
      <c r="B45">
        <v>35719</v>
      </c>
      <c r="C45">
        <v>1840.0636000000002</v>
      </c>
    </row>
    <row r="46">
      <c r="A46">
        <v>45627</v>
      </c>
      <c r="B46">
        <v>38110</v>
      </c>
      <c r="C46">
        <v>1889.8449999999998</v>
      </c>
    </row>
    <row r="47">
      <c r="A47">
        <v>45658</v>
      </c>
      <c r="B47">
        <v>40082</v>
      </c>
      <c r="C47">
        <v>2024.7928000000002</v>
      </c>
    </row>
    <row r="48">
      <c r="A48">
        <v>45689</v>
      </c>
      <c r="B48">
        <v>46384</v>
      </c>
      <c r="C48">
        <v>2643.9246</v>
      </c>
    </row>
    <row r="49">
      <c r="A49">
        <v>45717</v>
      </c>
      <c r="B49">
        <v>66747</v>
      </c>
      <c r="C49">
        <v>3924.8585999999996</v>
      </c>
    </row>
    <row r="50">
      <c r="A50">
        <v>45748</v>
      </c>
      <c r="B50">
        <v>68087</v>
      </c>
      <c r="C50">
        <v>3905.3735999999994</v>
      </c>
    </row>
    <row r="51">
      <c r="A51">
        <v>45778</v>
      </c>
      <c r="B51">
        <v>74706</v>
      </c>
      <c r="C51">
        <v>3836.4905000000003</v>
      </c>
    </row>
    <row r="52">
      <c r="A52">
        <v>45809</v>
      </c>
      <c r="B52">
        <v>169480</v>
      </c>
      <c r="C52">
        <v>10769.572300000003</v>
      </c>
    </row>
    <row r="53">
      <c r="A53">
        <v>45839</v>
      </c>
      <c r="B53">
        <v>237056</v>
      </c>
      <c r="C53">
        <v>13286.188299999998</v>
      </c>
    </row>
    <row r="54">
      <c r="A54">
        <v>45870</v>
      </c>
      <c r="B54">
        <v>212303</v>
      </c>
      <c r="C54">
        <v>12118.083499999999</v>
      </c>
    </row>
    <row r="55">
      <c r="A55">
        <v>45901</v>
      </c>
      <c r="B55">
        <v>250916</v>
      </c>
      <c r="C55">
        <v>13950.5437</v>
      </c>
    </row>
    <row r="56">
      <c r="A56">
        <v>45931</v>
      </c>
      <c r="B56">
        <v>229713</v>
      </c>
      <c r="C56">
        <v>11487.6774</v>
      </c>
    </row>
    <row r="57">
      <c r="A57">
        <v>45962</v>
      </c>
      <c r="B57">
        <v>212828</v>
      </c>
      <c r="C57">
        <v>11440.042899999997</v>
      </c>
    </row>
    <row r="58">
      <c r="A58">
        <v>45992</v>
      </c>
      <c r="B58">
        <v>181659</v>
      </c>
      <c r="C58">
        <v>8162.899499999998</v>
      </c>
    </row>
  </sheetData>
  <pageMargins left="0.7" right="0.7" top="0.75" bottom="0.75" header="0.3" footer="0.3"/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kWh</vt:lpstr>
      <vt:lpstr>Elec Rates</vt:lpstr>
      <vt:lpstr>CS Rates</vt:lpstr>
      <vt:lpstr>Savings</vt:lpstr>
      <vt:lpstr>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2026-07-24T18:17:42Z</dcterms:modified>
  <cp:lastModifiedBy>Lavender, Jessica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