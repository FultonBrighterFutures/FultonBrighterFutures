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c0365-my.sharepoint.com/personal/jessica_lavender_fultoncountyga_gov/Documents/Solar/Reporting/"/>
    </mc:Choice>
  </mc:AlternateContent>
  <xr:revisionPtr revIDLastSave="605" documentId="13_ncr:1_{7D44ED26-48DD-4BB4-8AD6-F42A57156ABF}" xr6:coauthVersionLast="47" xr6:coauthVersionMax="47" xr10:uidLastSave="{C216CA16-3031-459E-A545-CC8CF7B04DB6}"/>
  <bookViews>
    <workbookView xWindow="-108" yWindow="-108" windowWidth="23256" windowHeight="12456" activeTab="3" xr2:uid="{00000000-000D-0000-FFFF-FFFF00000000}"/>
  </bookViews>
  <sheets>
    <sheet name="kWh" sheetId="1" r:id="rId1"/>
    <sheet name="Elec Rates" sheetId="2" r:id="rId2"/>
    <sheet name="CS Rates" sheetId="3" r:id="rId3"/>
    <sheet name="Savings" sheetId="4" r:id="rId4"/>
    <sheet name="Graph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65" i="4" l="1"/>
  <c r="AQ65" i="4" s="1"/>
  <c r="AT3" i="1"/>
  <c r="AR3" i="1"/>
  <c r="AQ65" i="1"/>
  <c r="AQ68" i="1"/>
  <c r="AQ69" i="1" s="1"/>
  <c r="AL69" i="1"/>
  <c r="AM69" i="1"/>
  <c r="AN69" i="1"/>
  <c r="AO69" i="1"/>
  <c r="AP69" i="1"/>
  <c r="AK69" i="1"/>
  <c r="AJ69" i="1"/>
  <c r="C68" i="1"/>
  <c r="D68" i="1"/>
  <c r="E68" i="1"/>
  <c r="F68" i="1"/>
  <c r="G68" i="1"/>
  <c r="H68" i="1"/>
  <c r="I68" i="1"/>
  <c r="I69" i="1" s="1"/>
  <c r="J68" i="1"/>
  <c r="K68" i="1"/>
  <c r="L68" i="1"/>
  <c r="M68" i="1"/>
  <c r="N68" i="1"/>
  <c r="O68" i="1"/>
  <c r="P68" i="1"/>
  <c r="Q68" i="1"/>
  <c r="Q69" i="1" s="1"/>
  <c r="R68" i="1"/>
  <c r="S68" i="1"/>
  <c r="T68" i="1"/>
  <c r="U68" i="1"/>
  <c r="V68" i="1"/>
  <c r="W68" i="1"/>
  <c r="X68" i="1"/>
  <c r="Y68" i="1"/>
  <c r="Y69" i="1" s="1"/>
  <c r="Z68" i="1"/>
  <c r="AA68" i="1"/>
  <c r="AB68" i="1"/>
  <c r="AC68" i="1"/>
  <c r="AD68" i="1"/>
  <c r="AE68" i="1"/>
  <c r="AF68" i="1"/>
  <c r="AG68" i="1"/>
  <c r="AG69" i="1" s="1"/>
  <c r="AH68" i="1"/>
  <c r="AI68" i="1"/>
  <c r="AJ68" i="1"/>
  <c r="AK68" i="1"/>
  <c r="AL68" i="1"/>
  <c r="AM68" i="1"/>
  <c r="AN68" i="1"/>
  <c r="AO68" i="1"/>
  <c r="AP68" i="1"/>
  <c r="B68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3" i="1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3" i="2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3" i="3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3" i="4"/>
  <c r="AJ4" i="4"/>
  <c r="AK4" i="4"/>
  <c r="AL4" i="4"/>
  <c r="AM4" i="4"/>
  <c r="AN4" i="4"/>
  <c r="AO4" i="4"/>
  <c r="AP4" i="4"/>
  <c r="AJ5" i="4"/>
  <c r="AK5" i="4"/>
  <c r="AL5" i="4"/>
  <c r="AM5" i="4"/>
  <c r="AN5" i="4"/>
  <c r="AO5" i="4"/>
  <c r="AP5" i="4"/>
  <c r="AJ6" i="4"/>
  <c r="AK6" i="4"/>
  <c r="AL6" i="4"/>
  <c r="AM6" i="4"/>
  <c r="AN6" i="4"/>
  <c r="AO6" i="4"/>
  <c r="AP6" i="4"/>
  <c r="AJ7" i="4"/>
  <c r="AK7" i="4"/>
  <c r="AL7" i="4"/>
  <c r="AM7" i="4"/>
  <c r="AN7" i="4"/>
  <c r="AO7" i="4"/>
  <c r="AP7" i="4"/>
  <c r="AJ8" i="4"/>
  <c r="AK8" i="4"/>
  <c r="AL8" i="4"/>
  <c r="AM8" i="4"/>
  <c r="AN8" i="4"/>
  <c r="AO8" i="4"/>
  <c r="AP8" i="4"/>
  <c r="AJ9" i="4"/>
  <c r="AK9" i="4"/>
  <c r="AL9" i="4"/>
  <c r="AM9" i="4"/>
  <c r="AN9" i="4"/>
  <c r="AO9" i="4"/>
  <c r="AP9" i="4"/>
  <c r="AJ10" i="4"/>
  <c r="AK10" i="4"/>
  <c r="AL10" i="4"/>
  <c r="AM10" i="4"/>
  <c r="AN10" i="4"/>
  <c r="AO10" i="4"/>
  <c r="AP10" i="4"/>
  <c r="AJ11" i="4"/>
  <c r="AK11" i="4"/>
  <c r="AL11" i="4"/>
  <c r="AM11" i="4"/>
  <c r="AN11" i="4"/>
  <c r="AO11" i="4"/>
  <c r="AP11" i="4"/>
  <c r="AJ12" i="4"/>
  <c r="AK12" i="4"/>
  <c r="AL12" i="4"/>
  <c r="AM12" i="4"/>
  <c r="AN12" i="4"/>
  <c r="AO12" i="4"/>
  <c r="AP12" i="4"/>
  <c r="AJ13" i="4"/>
  <c r="AK13" i="4"/>
  <c r="AL13" i="4"/>
  <c r="AM13" i="4"/>
  <c r="AN13" i="4"/>
  <c r="AO13" i="4"/>
  <c r="AP13" i="4"/>
  <c r="AJ14" i="4"/>
  <c r="AK14" i="4"/>
  <c r="AL14" i="4"/>
  <c r="AM14" i="4"/>
  <c r="AN14" i="4"/>
  <c r="AO14" i="4"/>
  <c r="AP14" i="4"/>
  <c r="AJ15" i="4"/>
  <c r="AK15" i="4"/>
  <c r="AL15" i="4"/>
  <c r="AM15" i="4"/>
  <c r="AN15" i="4"/>
  <c r="AO15" i="4"/>
  <c r="AP15" i="4"/>
  <c r="AJ16" i="4"/>
  <c r="AK16" i="4"/>
  <c r="AL16" i="4"/>
  <c r="AM16" i="4"/>
  <c r="AN16" i="4"/>
  <c r="AO16" i="4"/>
  <c r="AP16" i="4"/>
  <c r="AJ17" i="4"/>
  <c r="AK17" i="4"/>
  <c r="AL17" i="4"/>
  <c r="AM17" i="4"/>
  <c r="AN17" i="4"/>
  <c r="AO17" i="4"/>
  <c r="AP17" i="4"/>
  <c r="AJ18" i="4"/>
  <c r="AK18" i="4"/>
  <c r="AL18" i="4"/>
  <c r="AM18" i="4"/>
  <c r="AN18" i="4"/>
  <c r="AO18" i="4"/>
  <c r="AP18" i="4"/>
  <c r="AJ19" i="4"/>
  <c r="AK19" i="4"/>
  <c r="AL19" i="4"/>
  <c r="AM19" i="4"/>
  <c r="AN19" i="4"/>
  <c r="AO19" i="4"/>
  <c r="AP19" i="4"/>
  <c r="AJ20" i="4"/>
  <c r="AK20" i="4"/>
  <c r="AL20" i="4"/>
  <c r="AM20" i="4"/>
  <c r="AN20" i="4"/>
  <c r="AO20" i="4"/>
  <c r="AP20" i="4"/>
  <c r="AJ21" i="4"/>
  <c r="AK21" i="4"/>
  <c r="AL21" i="4"/>
  <c r="AM21" i="4"/>
  <c r="AN21" i="4"/>
  <c r="AO21" i="4"/>
  <c r="AP21" i="4"/>
  <c r="AJ22" i="4"/>
  <c r="AK22" i="4"/>
  <c r="AL22" i="4"/>
  <c r="AM22" i="4"/>
  <c r="AN22" i="4"/>
  <c r="AO22" i="4"/>
  <c r="AP22" i="4"/>
  <c r="AJ23" i="4"/>
  <c r="AK23" i="4"/>
  <c r="AL23" i="4"/>
  <c r="AM23" i="4"/>
  <c r="AN23" i="4"/>
  <c r="AO23" i="4"/>
  <c r="AP23" i="4"/>
  <c r="AJ24" i="4"/>
  <c r="AK24" i="4"/>
  <c r="AL24" i="4"/>
  <c r="AM24" i="4"/>
  <c r="AN24" i="4"/>
  <c r="AO24" i="4"/>
  <c r="AP24" i="4"/>
  <c r="AJ25" i="4"/>
  <c r="AK25" i="4"/>
  <c r="AL25" i="4"/>
  <c r="AM25" i="4"/>
  <c r="AN25" i="4"/>
  <c r="AO25" i="4"/>
  <c r="AP25" i="4"/>
  <c r="AJ26" i="4"/>
  <c r="AK26" i="4"/>
  <c r="AL26" i="4"/>
  <c r="AM26" i="4"/>
  <c r="AN26" i="4"/>
  <c r="AO26" i="4"/>
  <c r="AP26" i="4"/>
  <c r="AJ27" i="4"/>
  <c r="AK27" i="4"/>
  <c r="AL27" i="4"/>
  <c r="AM27" i="4"/>
  <c r="AN27" i="4"/>
  <c r="AO27" i="4"/>
  <c r="AP27" i="4"/>
  <c r="AJ28" i="4"/>
  <c r="AK28" i="4"/>
  <c r="AL28" i="4"/>
  <c r="AM28" i="4"/>
  <c r="AN28" i="4"/>
  <c r="AO28" i="4"/>
  <c r="AP28" i="4"/>
  <c r="AJ29" i="4"/>
  <c r="AK29" i="4"/>
  <c r="AL29" i="4"/>
  <c r="AM29" i="4"/>
  <c r="AN29" i="4"/>
  <c r="AO29" i="4"/>
  <c r="AP29" i="4"/>
  <c r="AJ30" i="4"/>
  <c r="AK30" i="4"/>
  <c r="AL30" i="4"/>
  <c r="AM30" i="4"/>
  <c r="AN30" i="4"/>
  <c r="AO30" i="4"/>
  <c r="AP30" i="4"/>
  <c r="AJ31" i="4"/>
  <c r="AK31" i="4"/>
  <c r="AL31" i="4"/>
  <c r="AM31" i="4"/>
  <c r="AN31" i="4"/>
  <c r="AO31" i="4"/>
  <c r="AP31" i="4"/>
  <c r="AJ32" i="4"/>
  <c r="AK32" i="4"/>
  <c r="AL32" i="4"/>
  <c r="AM32" i="4"/>
  <c r="AN32" i="4"/>
  <c r="AO32" i="4"/>
  <c r="AP32" i="4"/>
  <c r="AJ33" i="4"/>
  <c r="AK33" i="4"/>
  <c r="AL33" i="4"/>
  <c r="AM33" i="4"/>
  <c r="AN33" i="4"/>
  <c r="AO33" i="4"/>
  <c r="AP33" i="4"/>
  <c r="AJ34" i="4"/>
  <c r="AK34" i="4"/>
  <c r="AL34" i="4"/>
  <c r="AM34" i="4"/>
  <c r="AN34" i="4"/>
  <c r="AO34" i="4"/>
  <c r="AP34" i="4"/>
  <c r="AJ35" i="4"/>
  <c r="AK35" i="4"/>
  <c r="AL35" i="4"/>
  <c r="AM35" i="4"/>
  <c r="AN35" i="4"/>
  <c r="AO35" i="4"/>
  <c r="AP35" i="4"/>
  <c r="AJ36" i="4"/>
  <c r="AK36" i="4"/>
  <c r="AL36" i="4"/>
  <c r="AM36" i="4"/>
  <c r="AN36" i="4"/>
  <c r="AO36" i="4"/>
  <c r="AP36" i="4"/>
  <c r="AJ37" i="4"/>
  <c r="AK37" i="4"/>
  <c r="AL37" i="4"/>
  <c r="AM37" i="4"/>
  <c r="AN37" i="4"/>
  <c r="AO37" i="4"/>
  <c r="AP37" i="4"/>
  <c r="AJ38" i="4"/>
  <c r="AK38" i="4"/>
  <c r="AL38" i="4"/>
  <c r="AM38" i="4"/>
  <c r="AN38" i="4"/>
  <c r="AO38" i="4"/>
  <c r="AP38" i="4"/>
  <c r="AJ39" i="4"/>
  <c r="AK39" i="4"/>
  <c r="AL39" i="4"/>
  <c r="AM39" i="4"/>
  <c r="AN39" i="4"/>
  <c r="AO39" i="4"/>
  <c r="AP39" i="4"/>
  <c r="AJ40" i="4"/>
  <c r="AK40" i="4"/>
  <c r="AL40" i="4"/>
  <c r="AM40" i="4"/>
  <c r="AN40" i="4"/>
  <c r="AO40" i="4"/>
  <c r="AP40" i="4"/>
  <c r="AJ41" i="4"/>
  <c r="AK41" i="4"/>
  <c r="AL41" i="4"/>
  <c r="AM41" i="4"/>
  <c r="AN41" i="4"/>
  <c r="AO41" i="4"/>
  <c r="AP41" i="4"/>
  <c r="AJ42" i="4"/>
  <c r="AK42" i="4"/>
  <c r="AL42" i="4"/>
  <c r="AM42" i="4"/>
  <c r="AN42" i="4"/>
  <c r="AO42" i="4"/>
  <c r="AP42" i="4"/>
  <c r="AJ43" i="4"/>
  <c r="AK43" i="4"/>
  <c r="AL43" i="4"/>
  <c r="AM43" i="4"/>
  <c r="AN43" i="4"/>
  <c r="AO43" i="4"/>
  <c r="AP43" i="4"/>
  <c r="AJ44" i="4"/>
  <c r="AK44" i="4"/>
  <c r="AL44" i="4"/>
  <c r="AM44" i="4"/>
  <c r="AN44" i="4"/>
  <c r="AO44" i="4"/>
  <c r="AP44" i="4"/>
  <c r="AJ45" i="4"/>
  <c r="AK45" i="4"/>
  <c r="AL45" i="4"/>
  <c r="AM45" i="4"/>
  <c r="AN45" i="4"/>
  <c r="AO45" i="4"/>
  <c r="AP45" i="4"/>
  <c r="AJ46" i="4"/>
  <c r="AK46" i="4"/>
  <c r="AL46" i="4"/>
  <c r="AM46" i="4"/>
  <c r="AN46" i="4"/>
  <c r="AO46" i="4"/>
  <c r="AP46" i="4"/>
  <c r="AJ47" i="4"/>
  <c r="AK47" i="4"/>
  <c r="AL47" i="4"/>
  <c r="AM47" i="4"/>
  <c r="AN47" i="4"/>
  <c r="AO47" i="4"/>
  <c r="AP47" i="4"/>
  <c r="AJ48" i="4"/>
  <c r="AK48" i="4"/>
  <c r="AL48" i="4"/>
  <c r="AM48" i="4"/>
  <c r="AN48" i="4"/>
  <c r="AO48" i="4"/>
  <c r="AP48" i="4"/>
  <c r="AJ49" i="4"/>
  <c r="AK49" i="4"/>
  <c r="AL49" i="4"/>
  <c r="AM49" i="4"/>
  <c r="AN49" i="4"/>
  <c r="AO49" i="4"/>
  <c r="AP49" i="4"/>
  <c r="AJ50" i="4"/>
  <c r="AK50" i="4"/>
  <c r="AL50" i="4"/>
  <c r="AM50" i="4"/>
  <c r="AN50" i="4"/>
  <c r="AO50" i="4"/>
  <c r="AP50" i="4"/>
  <c r="AJ51" i="4"/>
  <c r="AK51" i="4"/>
  <c r="AL51" i="4"/>
  <c r="AM51" i="4"/>
  <c r="AN51" i="4"/>
  <c r="AO51" i="4"/>
  <c r="AP51" i="4"/>
  <c r="AJ52" i="4"/>
  <c r="AK52" i="4"/>
  <c r="AL52" i="4"/>
  <c r="AM52" i="4"/>
  <c r="AN52" i="4"/>
  <c r="AO52" i="4"/>
  <c r="AP52" i="4"/>
  <c r="AJ53" i="4"/>
  <c r="AK53" i="4"/>
  <c r="AL53" i="4"/>
  <c r="AM53" i="4"/>
  <c r="AN53" i="4"/>
  <c r="AO53" i="4"/>
  <c r="AP53" i="4"/>
  <c r="AJ54" i="4"/>
  <c r="AK54" i="4"/>
  <c r="AL54" i="4"/>
  <c r="AM54" i="4"/>
  <c r="AN54" i="4"/>
  <c r="AO54" i="4"/>
  <c r="AP54" i="4"/>
  <c r="AJ55" i="4"/>
  <c r="AK55" i="4"/>
  <c r="AL55" i="4"/>
  <c r="AM55" i="4"/>
  <c r="AN55" i="4"/>
  <c r="AO55" i="4"/>
  <c r="AP55" i="4"/>
  <c r="AJ56" i="4"/>
  <c r="AK56" i="4"/>
  <c r="AL56" i="4"/>
  <c r="AM56" i="4"/>
  <c r="AN56" i="4"/>
  <c r="AO56" i="4"/>
  <c r="AP56" i="4"/>
  <c r="AJ57" i="4"/>
  <c r="AK57" i="4"/>
  <c r="AL57" i="4"/>
  <c r="AM57" i="4"/>
  <c r="AN57" i="4"/>
  <c r="AO57" i="4"/>
  <c r="AP57" i="4"/>
  <c r="AJ58" i="4"/>
  <c r="AK58" i="4"/>
  <c r="AL58" i="4"/>
  <c r="AM58" i="4"/>
  <c r="AN58" i="4"/>
  <c r="AO58" i="4"/>
  <c r="AP58" i="4"/>
  <c r="AJ59" i="4"/>
  <c r="AK59" i="4"/>
  <c r="AL59" i="4"/>
  <c r="AM59" i="4"/>
  <c r="AN59" i="4"/>
  <c r="AO59" i="4"/>
  <c r="AP59" i="4"/>
  <c r="AJ60" i="4"/>
  <c r="AK60" i="4"/>
  <c r="AL60" i="4"/>
  <c r="AM60" i="4"/>
  <c r="AN60" i="4"/>
  <c r="AO60" i="4"/>
  <c r="AP60" i="4"/>
  <c r="AJ61" i="4"/>
  <c r="AK61" i="4"/>
  <c r="AL61" i="4"/>
  <c r="AM61" i="4"/>
  <c r="AN61" i="4"/>
  <c r="AO61" i="4"/>
  <c r="AP61" i="4"/>
  <c r="AJ62" i="4"/>
  <c r="AK62" i="4"/>
  <c r="AL62" i="4"/>
  <c r="AM62" i="4"/>
  <c r="AN62" i="4"/>
  <c r="AO62" i="4"/>
  <c r="AP62" i="4"/>
  <c r="AJ63" i="4"/>
  <c r="AK63" i="4"/>
  <c r="AL63" i="4"/>
  <c r="AM63" i="4"/>
  <c r="AN63" i="4"/>
  <c r="AO63" i="4"/>
  <c r="AP63" i="4"/>
  <c r="AJ64" i="4"/>
  <c r="AK64" i="4"/>
  <c r="AL64" i="4"/>
  <c r="AM64" i="4"/>
  <c r="AN64" i="4"/>
  <c r="AO64" i="4"/>
  <c r="AP64" i="4"/>
  <c r="AJ65" i="4"/>
  <c r="AK65" i="4"/>
  <c r="AL65" i="4"/>
  <c r="AM65" i="4"/>
  <c r="AN65" i="4"/>
  <c r="AO65" i="4"/>
  <c r="AK3" i="4"/>
  <c r="AL3" i="4"/>
  <c r="AM3" i="4"/>
  <c r="AN3" i="4"/>
  <c r="AO3" i="4"/>
  <c r="AP3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B6" i="4"/>
  <c r="C6" i="4"/>
  <c r="D6" i="4"/>
  <c r="E6" i="4"/>
  <c r="F6" i="4"/>
  <c r="G6" i="4"/>
  <c r="H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C69" i="1"/>
  <c r="D69" i="1"/>
  <c r="G69" i="1"/>
  <c r="J69" i="1"/>
  <c r="K69" i="1"/>
  <c r="L69" i="1"/>
  <c r="M69" i="1"/>
  <c r="N69" i="1"/>
  <c r="O69" i="1"/>
  <c r="P69" i="1"/>
  <c r="R69" i="1"/>
  <c r="S69" i="1"/>
  <c r="T69" i="1"/>
  <c r="V69" i="1"/>
  <c r="W69" i="1"/>
  <c r="X69" i="1"/>
  <c r="Z69" i="1"/>
  <c r="AB69" i="1"/>
  <c r="AD69" i="1"/>
  <c r="AE69" i="1"/>
  <c r="AF69" i="1"/>
  <c r="AH69" i="1"/>
  <c r="AI69" i="1"/>
  <c r="E69" i="1"/>
  <c r="F69" i="1"/>
  <c r="H69" i="1"/>
  <c r="U69" i="1"/>
  <c r="AA69" i="1"/>
  <c r="AC69" i="1"/>
  <c r="B69" i="1"/>
  <c r="I6" i="4" l="1"/>
  <c r="AT4" i="1"/>
  <c r="AT29" i="4"/>
  <c r="B3" i="4"/>
  <c r="AR3" i="4" l="1"/>
  <c r="AR24" i="1"/>
  <c r="AT24" i="1" l="1"/>
  <c r="AR5" i="1"/>
  <c r="AT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tc={FA66AF51-F27B-41C5-9A6B-0B6A43AB1C90}</author>
  </authors>
  <commentList>
    <comment ref="C4" authorId="0" shapeId="0" xr:uid="{FA66AF51-F27B-41C5-9A6B-0B6A43AB1C90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all of Wolf Creek's $/kWh numbers. For some reason they didn't match EnergyCAP, but all the other locations did.</t>
      </text>
    </comment>
  </commentList>
</comments>
</file>

<file path=xl/sharedStrings.xml><?xml version="1.0" encoding="utf-8"?>
<sst xmlns="http://schemas.openxmlformats.org/spreadsheetml/2006/main" count="192" uniqueCount="71">
  <si>
    <t>Alpharetta Library</t>
  </si>
  <si>
    <t>Wolf Creek Library</t>
  </si>
  <si>
    <t>Metropolitan Library</t>
  </si>
  <si>
    <t>Northwest Library</t>
  </si>
  <si>
    <t>Southeast Atlanta Library</t>
  </si>
  <si>
    <t>Neighbor-hood Union Health</t>
  </si>
  <si>
    <t>College Park Regional Health</t>
  </si>
  <si>
    <t>Month</t>
  </si>
  <si>
    <t>TOTAL</t>
  </si>
  <si>
    <t>AVERAGE</t>
  </si>
  <si>
    <t>Monthly Cost Savings</t>
  </si>
  <si>
    <t>Monthly Cherry Street Rates ($/kWh)</t>
  </si>
  <si>
    <t>Monthly Solar Production (kWh)</t>
  </si>
  <si>
    <t>Monthly Electric Utility Rates ($/kWh)</t>
  </si>
  <si>
    <t>Alpharetta Library (GP)</t>
  </si>
  <si>
    <t>Wolf Creek Library (GreyStone)</t>
  </si>
  <si>
    <t>Metropolitan Library (GP)</t>
  </si>
  <si>
    <t>Northwest Library (GP)</t>
  </si>
  <si>
    <t>Southeast Atlanta Library (GP)</t>
  </si>
  <si>
    <t>Neighbor-hood Union Health (GP)</t>
  </si>
  <si>
    <t>College Park Health (College Park)</t>
  </si>
  <si>
    <t>GRAND TOTAL</t>
  </si>
  <si>
    <t>CO2e savings (lbs)</t>
  </si>
  <si>
    <t>Total Cost Savings</t>
  </si>
  <si>
    <t>Total kWh Produced</t>
  </si>
  <si>
    <t>*Data for yellow cells was not available. I copied the value from the previous month.</t>
  </si>
  <si>
    <t>per year</t>
  </si>
  <si>
    <t>years</t>
  </si>
  <si>
    <t>CO2e savings (lbs)*</t>
  </si>
  <si>
    <t>* https://www.epa.gov/egrid/download-data  -  also saved in emissions folder</t>
  </si>
  <si>
    <t>2023 kWh total</t>
  </si>
  <si>
    <t>new contract annual production</t>
  </si>
  <si>
    <t>new contract + old contract annual production</t>
  </si>
  <si>
    <t>Milton Library</t>
  </si>
  <si>
    <t>E Roswell Library</t>
  </si>
  <si>
    <t>Maxwell Rd (Driver Services)</t>
  </si>
  <si>
    <t>Benson Senior Center</t>
  </si>
  <si>
    <t>Aviation Cultural Center</t>
  </si>
  <si>
    <t>Mill Senior Center</t>
  </si>
  <si>
    <t>Dogwood Library</t>
  </si>
  <si>
    <t>Cascade (SW) Library</t>
  </si>
  <si>
    <t>South Fulton Service Center</t>
  </si>
  <si>
    <t>Juvenile Justice Center</t>
  </si>
  <si>
    <t>Ponce de Leon Library</t>
  </si>
  <si>
    <t>New Beginnings Senior Center</t>
  </si>
  <si>
    <t>Medical Examiner</t>
  </si>
  <si>
    <t>Gladys Dennard Library</t>
  </si>
  <si>
    <t>Board of Health</t>
  </si>
  <si>
    <t>Dogwood Senior Center</t>
  </si>
  <si>
    <t>College Park Library</t>
  </si>
  <si>
    <t>Animal Services</t>
  </si>
  <si>
    <t>Adamsville Library</t>
  </si>
  <si>
    <t>Union City Jail</t>
  </si>
  <si>
    <t>Sandy Springs Library</t>
  </si>
  <si>
    <t>QLS Senior Center</t>
  </si>
  <si>
    <t>North Fulton Service Center</t>
  </si>
  <si>
    <t>Bowden Senior Center</t>
  </si>
  <si>
    <t>Cleveland Ave Library</t>
  </si>
  <si>
    <t>Adams Park Library</t>
  </si>
  <si>
    <t>Mills Senior Center</t>
  </si>
  <si>
    <t>Adamsville (AC) Library</t>
  </si>
  <si>
    <t>Ponce de Leon (JP) Library</t>
  </si>
  <si>
    <t>Palmetto Library</t>
  </si>
  <si>
    <t>SE Neighborhood Senior Center</t>
  </si>
  <si>
    <t>eGRID 2023 subregion SRSO CO2e non-baseload output emission rate (lb/MWh)*</t>
  </si>
  <si>
    <t>NE Spruill Oaks Library</t>
  </si>
  <si>
    <t>Ocee Library</t>
  </si>
  <si>
    <t>Auburn Ave Research Library</t>
  </si>
  <si>
    <t>Buckhead Library</t>
  </si>
  <si>
    <t>Hapeville Library</t>
  </si>
  <si>
    <t>Northside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</si>
</sst>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0.000"/>
    <numFmt numFmtId="166" formatCode="&quot;$&quot;#,##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00"/>
    <numFmt numFmtId="170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164" fontId="0" fillId="2" borderId="1" xfId="0" applyNumberFormat="1" applyFill="1" applyBorder="1"/>
    <xf numFmtId="0" fontId="0" fillId="2" borderId="1" xfId="0" applyFill="1" applyBorder="1"/>
    <xf numFmtId="3" fontId="0" fillId="2" borderId="1" xfId="0" applyNumberFormat="1" applyFill="1" applyBorder="1"/>
    <xf numFmtId="3" fontId="0" fillId="0" borderId="1" xfId="0" applyNumberFormat="1" applyBorder="1"/>
    <xf numFmtId="0" fontId="0" fillId="0" borderId="1" xfId="0" applyBorder="1"/>
    <xf numFmtId="165" fontId="0" fillId="0" borderId="3" xfId="0" applyNumberFormat="1" applyBorder="1"/>
    <xf numFmtId="165" fontId="0" fillId="2" borderId="3" xfId="0" applyNumberFormat="1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0" fontId="1" fillId="2" borderId="1" xfId="0" applyFont="1" applyFill="1" applyBorder="1"/>
    <xf numFmtId="167" fontId="0" fillId="2" borderId="1" xfId="1" applyNumberFormat="1" applyFont="1" applyFill="1" applyBorder="1"/>
    <xf numFmtId="0" fontId="3" fillId="3" borderId="0" xfId="0" applyFont="1" applyFill="1"/>
    <xf numFmtId="168" fontId="0" fillId="2" borderId="0" xfId="2" applyNumberFormat="1" applyFont="1" applyFill="1"/>
    <xf numFmtId="164" fontId="0" fillId="2" borderId="0" xfId="0" applyNumberFormat="1" applyFill="1"/>
    <xf numFmtId="3" fontId="0" fillId="2" borderId="0" xfId="0" applyNumberFormat="1" applyFill="1"/>
    <xf numFmtId="2" fontId="0" fillId="4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9" fontId="0" fillId="2" borderId="1" xfId="0" applyNumberFormat="1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0" fontId="0" fillId="3" borderId="0" xfId="0" applyFill="1"/>
    <xf numFmtId="3" fontId="0" fillId="3" borderId="0" xfId="0" applyNumberFormat="1" applyFill="1"/>
    <xf numFmtId="4" fontId="0" fillId="2" borderId="0" xfId="0" applyNumberFormat="1" applyFill="1"/>
    <xf numFmtId="0" fontId="0" fillId="8" borderId="1" xfId="0" applyFill="1" applyBorder="1"/>
    <xf numFmtId="0" fontId="0" fillId="9" borderId="1" xfId="0" applyFill="1" applyBorder="1"/>
    <xf numFmtId="3" fontId="0" fillId="8" borderId="1" xfId="0" applyNumberFormat="1" applyFill="1" applyBorder="1"/>
    <xf numFmtId="0" fontId="0" fillId="8" borderId="0" xfId="0" applyFill="1"/>
    <xf numFmtId="10" fontId="0" fillId="2" borderId="0" xfId="0" applyNumberFormat="1" applyFill="1"/>
    <xf numFmtId="170" fontId="0" fillId="2" borderId="0" xfId="0" applyNumberFormat="1" applyFill="1"/>
    <xf numFmtId="165" fontId="0" fillId="2" borderId="0" xfId="0" applyNumberFormat="1" applyFill="1"/>
    <xf numFmtId="0" fontId="5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4" fillId="2" borderId="1" xfId="0" applyFont="1" applyFill="1" applyBorder="1"/>
    <xf numFmtId="0" fontId="1" fillId="2" borderId="2" xfId="0" applyFont="1" applyFill="1" applyBorder="1" applyAlignment="1"/>
    <xf numFmtId="0" fontId="0" fillId="12" borderId="1" xfId="0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CCCCFF"/>
      <color rgb="FFFF9999"/>
      <color rgb="FFE46E2B"/>
      <color rgb="FF002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2025 Monthly Solar Panel Production and Savings</a:t>
            </a:r>
          </a:p>
        </c:rich>
      </c:tx>
      <c:layout>
        <c:manualLayout>
          <c:xMode val="edge"/>
          <c:yMode val="edge"/>
          <c:x val="0.11491041089534519"/>
          <c:y val="2.5961980446452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53101616197456"/>
          <c:y val="0.15422088067476619"/>
          <c:w val="0.64317962854296595"/>
          <c:h val="0.67606749297215907"/>
        </c:manualLayout>
      </c:layout>
      <c:lineChart>
        <c:grouping val="standard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Total kWh Produced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Graphs!$A$47:$A$58</c:f>
              <c:numCache>
                <c:formatCode>[$-409]mmm\-yy;@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Graphs!$B$47:$B$58</c:f>
              <c:numCache>
                <c:formatCode>_(* #,##0_);_(* \(#,##0\);_(* "-"??_);_(@_)</c:formatCode>
                <c:ptCount val="12"/>
                <c:pt idx="0">
                  <c:v>40082</c:v>
                </c:pt>
                <c:pt idx="1">
                  <c:v>46384</c:v>
                </c:pt>
                <c:pt idx="2">
                  <c:v>66747</c:v>
                </c:pt>
                <c:pt idx="3">
                  <c:v>68087</c:v>
                </c:pt>
                <c:pt idx="4">
                  <c:v>74706</c:v>
                </c:pt>
                <c:pt idx="5">
                  <c:v>169480</c:v>
                </c:pt>
                <c:pt idx="6">
                  <c:v>237056</c:v>
                </c:pt>
                <c:pt idx="7">
                  <c:v>212303</c:v>
                </c:pt>
                <c:pt idx="8">
                  <c:v>250916</c:v>
                </c:pt>
                <c:pt idx="9">
                  <c:v>229713</c:v>
                </c:pt>
                <c:pt idx="10">
                  <c:v>212828</c:v>
                </c:pt>
                <c:pt idx="11">
                  <c:v>181659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9-4452-A043-D0F2570E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985519"/>
        <c:axId val="2093982191"/>
      </c:lineChart>
      <c:lineChart>
        <c:grouping val="standard"/>
        <c:varyColors val="0"/>
        <c:ser>
          <c:idx val="1"/>
          <c:order val="1"/>
          <c:tx>
            <c:strRef>
              <c:f>Graphs!$C$1</c:f>
              <c:strCache>
                <c:ptCount val="1"/>
                <c:pt idx="0">
                  <c:v>Total Cost Savings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Graphs!$A$47:$A$58</c:f>
              <c:numCache>
                <c:formatCode>[$-409]mmm\-yy;@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Graphs!$C$47:$C$58</c:f>
              <c:numCache>
                <c:formatCode>"$"#,##0</c:formatCode>
                <c:ptCount val="12"/>
                <c:pt idx="0">
                  <c:v>2024.7928000000002</c:v>
                </c:pt>
                <c:pt idx="1">
                  <c:v>2643.9245999999998</c:v>
                </c:pt>
                <c:pt idx="2">
                  <c:v>3924.8585999999996</c:v>
                </c:pt>
                <c:pt idx="3">
                  <c:v>3905.3735999999994</c:v>
                </c:pt>
                <c:pt idx="4">
                  <c:v>3836.4905000000003</c:v>
                </c:pt>
                <c:pt idx="5">
                  <c:v>10769.572300000003</c:v>
                </c:pt>
                <c:pt idx="6">
                  <c:v>13286.188299999998</c:v>
                </c:pt>
                <c:pt idx="7">
                  <c:v>12118.083499999999</c:v>
                </c:pt>
                <c:pt idx="8">
                  <c:v>13950.5437</c:v>
                </c:pt>
                <c:pt idx="9">
                  <c:v>11487.6774</c:v>
                </c:pt>
                <c:pt idx="10">
                  <c:v>11440.042899999997</c:v>
                </c:pt>
                <c:pt idx="11">
                  <c:v>8162.8994999999977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9-4452-A043-D0F2570E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6405103"/>
        <c:axId val="1846404271"/>
      </c:lineChart>
      <c:dateAx>
        <c:axId val="2093985519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982191"/>
        <c:crosses val="autoZero"/>
        <c:auto val="1"/>
        <c:lblOffset val="100"/>
        <c:baseTimeUnit val="months"/>
      </c:dateAx>
      <c:valAx>
        <c:axId val="209398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kWh</a:t>
                </a:r>
                <a:r>
                  <a:rPr lang="en-US" sz="1050" baseline="0">
                    <a:solidFill>
                      <a:schemeClr val="tx1"/>
                    </a:solidFill>
                  </a:rPr>
                  <a:t> Produced</a:t>
                </a:r>
                <a:endParaRPr lang="en-US" sz="105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5529687905129709E-2"/>
              <c:y val="0.32088511370996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985519"/>
        <c:crosses val="autoZero"/>
        <c:crossBetween val="between"/>
      </c:valAx>
      <c:valAx>
        <c:axId val="1846404271"/>
        <c:scaling>
          <c:orientation val="minMax"/>
          <c:max val="180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Electricity</a:t>
                </a:r>
                <a:r>
                  <a:rPr lang="en-US" sz="1050" baseline="0">
                    <a:solidFill>
                      <a:schemeClr val="tx1"/>
                    </a:solidFill>
                  </a:rPr>
                  <a:t> Cost - Solar Cost = Savings</a:t>
                </a:r>
                <a:endParaRPr lang="en-US" sz="105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851904743188298"/>
              <c:y val="0.1812052180439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405103"/>
        <c:crosses val="max"/>
        <c:crossBetween val="between"/>
        <c:majorUnit val="3000"/>
      </c:valAx>
      <c:dateAx>
        <c:axId val="1846405103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846404271"/>
        <c:crosses val="autoZero"/>
        <c:auto val="1"/>
        <c:lblOffset val="100"/>
        <c:baseTimeUnit val="months"/>
      </c:date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0287613095156867"/>
          <c:y val="0.73604497631889254"/>
          <c:w val="0.60811255612112614"/>
          <c:h val="6.5050709583774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>
            <a:lumMod val="95000"/>
          </a:schemeClr>
        </a:gs>
        <a:gs pos="74000">
          <a:schemeClr val="bg1">
            <a:lumMod val="85000"/>
          </a:schemeClr>
        </a:gs>
        <a:gs pos="83000">
          <a:schemeClr val="bg1">
            <a:lumMod val="85000"/>
          </a:schemeClr>
        </a:gs>
        <a:gs pos="100000">
          <a:schemeClr val="bg1">
            <a:lumMod val="95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3</xdr:row>
      <xdr:rowOff>0</xdr:rowOff>
    </xdr:from>
    <xdr:to>
      <xdr:col>53</xdr:col>
      <xdr:colOff>98729</xdr:colOff>
      <xdr:row>24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36937-68CB-2DD9-2EF7-5D3E49210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6640" y="922020"/>
          <a:ext cx="5500039" cy="3893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2</xdr:row>
      <xdr:rowOff>61912</xdr:rowOff>
    </xdr:from>
    <xdr:to>
      <xdr:col>12</xdr:col>
      <xdr:colOff>400049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B12C43-8367-4929-9D95-1E0A28ED7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2-10-26T12:40:10.82" personId="{00000000-0000-0000-0000-000000000000}" id="{FA66AF51-F27B-41C5-9A6B-0B6A43AB1C90}">
    <text>Updated all of Wolf Creek's $/kWh numbers. For some reason they didn't match EnergyCAP, but all the other locations did.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6"/>
  <sheetViews>
    <sheetView zoomScale="90" zoomScaleNormal="90" workbookViewId="0">
      <pane xSplit="1" ySplit="2" topLeftCell="AF58" activePane="bottomRight" state="frozen"/>
      <selection pane="topRight" activeCell="B1" sqref="B1"/>
      <selection pane="bottomLeft" activeCell="A3" sqref="A3"/>
      <selection pane="bottomRight" activeCell="AT4" sqref="AT4"/>
    </sheetView>
  </sheetViews>
  <sheetFormatPr defaultColWidth="8.5546875" defaultRowHeight="14.4" x14ac:dyDescent="0.3"/>
  <cols>
    <col min="1" max="1" width="8.5546875" style="1"/>
    <col min="2" max="3" width="10.88671875" style="1" customWidth="1"/>
    <col min="4" max="4" width="12.44140625" style="1" customWidth="1"/>
    <col min="5" max="7" width="10.88671875" style="1" customWidth="1"/>
    <col min="8" max="42" width="11.5546875" style="1" customWidth="1"/>
    <col min="43" max="43" width="10.44140625" style="1" customWidth="1"/>
    <col min="44" max="44" width="9.88671875" style="1" customWidth="1"/>
    <col min="45" max="45" width="24.5546875" style="1" customWidth="1"/>
    <col min="46" max="46" width="11.6640625" style="1" customWidth="1"/>
    <col min="47" max="16384" width="8.5546875" style="1"/>
  </cols>
  <sheetData>
    <row r="1" spans="1:46" x14ac:dyDescent="0.3">
      <c r="B1" s="38" t="s">
        <v>12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</row>
    <row r="2" spans="1:46" s="2" customFormat="1" ht="44.1" customHeight="1" x14ac:dyDescent="0.3">
      <c r="A2" s="3" t="s">
        <v>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59</v>
      </c>
      <c r="O2" s="3" t="s">
        <v>39</v>
      </c>
      <c r="P2" s="3" t="s">
        <v>62</v>
      </c>
      <c r="Q2" s="3" t="s">
        <v>40</v>
      </c>
      <c r="R2" s="3" t="s">
        <v>41</v>
      </c>
      <c r="S2" s="3" t="s">
        <v>42</v>
      </c>
      <c r="T2" s="3" t="s">
        <v>61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60</v>
      </c>
      <c r="AC2" s="3" t="s">
        <v>52</v>
      </c>
      <c r="AD2" s="3" t="s">
        <v>53</v>
      </c>
      <c r="AE2" s="3" t="s">
        <v>54</v>
      </c>
      <c r="AF2" s="3" t="s">
        <v>55</v>
      </c>
      <c r="AG2" s="3" t="s">
        <v>56</v>
      </c>
      <c r="AH2" s="3" t="s">
        <v>57</v>
      </c>
      <c r="AI2" s="3" t="s">
        <v>58</v>
      </c>
      <c r="AJ2" s="3" t="s">
        <v>63</v>
      </c>
      <c r="AK2" s="3" t="s">
        <v>65</v>
      </c>
      <c r="AL2" s="3" t="s">
        <v>66</v>
      </c>
      <c r="AM2" s="3" t="s">
        <v>67</v>
      </c>
      <c r="AN2" s="3" t="s">
        <v>68</v>
      </c>
      <c r="AO2" s="3" t="s">
        <v>69</v>
      </c>
      <c r="AP2" s="3" t="s">
        <v>70</v>
      </c>
      <c r="AQ2" s="3" t="s">
        <v>24</v>
      </c>
      <c r="AR2" s="3" t="s">
        <v>21</v>
      </c>
      <c r="AS2" s="3" t="s">
        <v>64</v>
      </c>
      <c r="AT2" s="3" t="s">
        <v>22</v>
      </c>
    </row>
    <row r="3" spans="1:46" x14ac:dyDescent="0.3">
      <c r="A3" s="4">
        <v>44287</v>
      </c>
      <c r="B3" s="6">
        <v>5381.5</v>
      </c>
      <c r="C3" s="6">
        <v>7949.4</v>
      </c>
      <c r="D3" s="6">
        <v>9227.4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>
        <f>SUM(B3:AP3)</f>
        <v>22558.3</v>
      </c>
      <c r="AR3" s="6">
        <f>SUM(AQ3:AQ65)</f>
        <v>6268705.5</v>
      </c>
      <c r="AS3" s="24">
        <v>1392.345</v>
      </c>
      <c r="AT3" s="6">
        <f>(AR3/1000)*AS3</f>
        <v>8728200.7593975011</v>
      </c>
    </row>
    <row r="4" spans="1:46" x14ac:dyDescent="0.3">
      <c r="A4" s="4">
        <v>44317</v>
      </c>
      <c r="B4" s="6">
        <v>9979.5</v>
      </c>
      <c r="C4" s="6">
        <v>7421.6</v>
      </c>
      <c r="D4" s="6">
        <v>17443.5</v>
      </c>
      <c r="E4" s="6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6">
        <f t="shared" ref="AQ4:AQ65" si="0">SUM(B4:AP4)</f>
        <v>34844.6</v>
      </c>
      <c r="AR4" s="32">
        <v>6754479</v>
      </c>
      <c r="AS4" s="33" t="s">
        <v>31</v>
      </c>
      <c r="AT4" s="32">
        <f>(AR4/1000)*AS3</f>
        <v>9404565.0632550009</v>
      </c>
    </row>
    <row r="5" spans="1:46" x14ac:dyDescent="0.3">
      <c r="A5" s="4">
        <v>44348</v>
      </c>
      <c r="B5" s="6">
        <v>8841.6</v>
      </c>
      <c r="C5" s="6">
        <v>13795</v>
      </c>
      <c r="D5" s="6">
        <v>15438.5</v>
      </c>
      <c r="E5" s="6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>
        <f t="shared" si="0"/>
        <v>38075.1</v>
      </c>
      <c r="AR5" s="32">
        <f>AR4+AR24</f>
        <v>7430351.5999999996</v>
      </c>
      <c r="AS5" s="33" t="s">
        <v>32</v>
      </c>
      <c r="AT5" s="32">
        <f>(AR5/1000)*AS3</f>
        <v>10345612.898502</v>
      </c>
    </row>
    <row r="6" spans="1:46" x14ac:dyDescent="0.3">
      <c r="A6" s="4">
        <v>44378</v>
      </c>
      <c r="B6" s="6">
        <v>8958.4</v>
      </c>
      <c r="C6" s="6">
        <v>14853.5</v>
      </c>
      <c r="D6" s="6">
        <v>13481.3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>
        <f t="shared" si="0"/>
        <v>37293.199999999997</v>
      </c>
    </row>
    <row r="7" spans="1:46" x14ac:dyDescent="0.3">
      <c r="A7" s="4">
        <v>44409</v>
      </c>
      <c r="B7" s="6">
        <v>8525.9</v>
      </c>
      <c r="C7" s="6">
        <v>14590.1</v>
      </c>
      <c r="D7" s="6">
        <v>16984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f t="shared" si="0"/>
        <v>40100</v>
      </c>
    </row>
    <row r="8" spans="1:46" x14ac:dyDescent="0.3">
      <c r="A8" s="4">
        <v>44440</v>
      </c>
      <c r="B8" s="6">
        <v>7550</v>
      </c>
      <c r="C8" s="6">
        <v>5768</v>
      </c>
      <c r="D8" s="6">
        <v>12955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f t="shared" si="0"/>
        <v>26273</v>
      </c>
    </row>
    <row r="9" spans="1:46" x14ac:dyDescent="0.3">
      <c r="A9" s="4">
        <v>44470</v>
      </c>
      <c r="B9" s="6">
        <v>5992</v>
      </c>
      <c r="C9" s="6">
        <v>10166</v>
      </c>
      <c r="D9" s="6">
        <v>10833</v>
      </c>
      <c r="E9" s="6">
        <v>8631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>
        <f t="shared" si="0"/>
        <v>35622</v>
      </c>
    </row>
    <row r="10" spans="1:46" x14ac:dyDescent="0.3">
      <c r="A10" s="4">
        <v>44501</v>
      </c>
      <c r="B10" s="6">
        <v>5976</v>
      </c>
      <c r="C10" s="6">
        <v>9536</v>
      </c>
      <c r="D10" s="6">
        <v>10383</v>
      </c>
      <c r="E10" s="6">
        <v>8448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>
        <f t="shared" si="0"/>
        <v>34343</v>
      </c>
    </row>
    <row r="11" spans="1:46" x14ac:dyDescent="0.3">
      <c r="A11" s="4">
        <v>44531</v>
      </c>
      <c r="B11" s="6">
        <v>3433</v>
      </c>
      <c r="C11" s="6">
        <v>5510</v>
      </c>
      <c r="D11" s="6">
        <v>5840</v>
      </c>
      <c r="E11" s="6">
        <v>4706</v>
      </c>
      <c r="F11" s="6">
        <v>1895</v>
      </c>
      <c r="G11" s="6">
        <v>1019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f t="shared" si="0"/>
        <v>22403</v>
      </c>
    </row>
    <row r="12" spans="1:46" x14ac:dyDescent="0.3">
      <c r="A12" s="4">
        <v>44562</v>
      </c>
      <c r="B12" s="6">
        <v>4838</v>
      </c>
      <c r="C12" s="6">
        <v>8237</v>
      </c>
      <c r="D12" s="6">
        <v>8604</v>
      </c>
      <c r="E12" s="6">
        <v>6926</v>
      </c>
      <c r="F12" s="6">
        <v>2778</v>
      </c>
      <c r="G12" s="6">
        <v>1516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f t="shared" si="0"/>
        <v>32899</v>
      </c>
    </row>
    <row r="13" spans="1:46" x14ac:dyDescent="0.3">
      <c r="A13" s="4">
        <v>44593</v>
      </c>
      <c r="B13" s="6">
        <v>5841</v>
      </c>
      <c r="C13" s="6">
        <v>9450</v>
      </c>
      <c r="D13" s="6">
        <v>9516</v>
      </c>
      <c r="E13" s="6">
        <v>7862</v>
      </c>
      <c r="F13" s="6">
        <v>3194</v>
      </c>
      <c r="G13" s="6">
        <v>1693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f t="shared" si="0"/>
        <v>37556</v>
      </c>
    </row>
    <row r="14" spans="1:46" x14ac:dyDescent="0.3">
      <c r="A14" s="4">
        <v>44621</v>
      </c>
      <c r="B14" s="6">
        <v>8254</v>
      </c>
      <c r="C14" s="6">
        <v>13793</v>
      </c>
      <c r="D14" s="6">
        <v>13869</v>
      </c>
      <c r="E14" s="6">
        <v>11038</v>
      </c>
      <c r="F14" s="6">
        <v>4515</v>
      </c>
      <c r="G14" s="6">
        <v>2394</v>
      </c>
      <c r="H14" s="6">
        <v>7131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f t="shared" si="0"/>
        <v>60994</v>
      </c>
    </row>
    <row r="15" spans="1:46" x14ac:dyDescent="0.3">
      <c r="A15" s="4">
        <v>44652</v>
      </c>
      <c r="B15" s="6">
        <v>8739</v>
      </c>
      <c r="C15" s="6">
        <v>13528</v>
      </c>
      <c r="D15" s="6">
        <v>14933</v>
      </c>
      <c r="E15" s="6">
        <v>12025</v>
      </c>
      <c r="F15" s="6">
        <v>4886</v>
      </c>
      <c r="G15" s="6">
        <v>2518</v>
      </c>
      <c r="H15" s="6">
        <v>17360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f t="shared" si="0"/>
        <v>73989</v>
      </c>
    </row>
    <row r="16" spans="1:46" x14ac:dyDescent="0.3">
      <c r="A16" s="4">
        <v>44682</v>
      </c>
      <c r="B16" s="6">
        <v>9591</v>
      </c>
      <c r="C16" s="6">
        <v>16181</v>
      </c>
      <c r="D16" s="6">
        <v>16227</v>
      </c>
      <c r="E16" s="6">
        <v>13081</v>
      </c>
      <c r="F16" s="6">
        <v>5558</v>
      </c>
      <c r="G16" s="6">
        <v>2746</v>
      </c>
      <c r="H16" s="6">
        <v>18826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f t="shared" si="0"/>
        <v>82210</v>
      </c>
    </row>
    <row r="17" spans="1:46" x14ac:dyDescent="0.3">
      <c r="A17" s="4">
        <v>44713</v>
      </c>
      <c r="B17" s="6">
        <v>9640</v>
      </c>
      <c r="C17" s="6">
        <v>16489</v>
      </c>
      <c r="D17" s="6">
        <v>16606</v>
      </c>
      <c r="E17" s="6">
        <v>13004</v>
      </c>
      <c r="F17" s="6">
        <v>5671</v>
      </c>
      <c r="G17" s="6">
        <v>2765</v>
      </c>
      <c r="H17" s="6">
        <v>18856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f t="shared" si="0"/>
        <v>83031</v>
      </c>
    </row>
    <row r="18" spans="1:46" x14ac:dyDescent="0.3">
      <c r="A18" s="4">
        <v>44743</v>
      </c>
      <c r="B18" s="7">
        <v>9142.2000000000007</v>
      </c>
      <c r="C18" s="7">
        <v>13914.4</v>
      </c>
      <c r="D18" s="7">
        <v>15278.1</v>
      </c>
      <c r="E18" s="7">
        <v>12245.5</v>
      </c>
      <c r="F18" s="7">
        <v>5167.3999999999996</v>
      </c>
      <c r="G18" s="7">
        <v>2611.9</v>
      </c>
      <c r="H18" s="7">
        <v>17138.2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6">
        <f t="shared" si="0"/>
        <v>75497.7</v>
      </c>
    </row>
    <row r="19" spans="1:46" x14ac:dyDescent="0.3">
      <c r="A19" s="4">
        <v>44774</v>
      </c>
      <c r="B19" s="7">
        <v>7930.2</v>
      </c>
      <c r="C19" s="7">
        <v>12070.1</v>
      </c>
      <c r="D19" s="7">
        <v>13425.4</v>
      </c>
      <c r="E19" s="7">
        <v>11128.6</v>
      </c>
      <c r="F19" s="7">
        <v>4523.3</v>
      </c>
      <c r="G19" s="7">
        <v>2238.9</v>
      </c>
      <c r="H19" s="7">
        <v>14986.6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6">
        <f t="shared" si="0"/>
        <v>66303.100000000006</v>
      </c>
    </row>
    <row r="20" spans="1:46" x14ac:dyDescent="0.3">
      <c r="A20" s="4">
        <v>44805</v>
      </c>
      <c r="B20" s="7">
        <v>8079</v>
      </c>
      <c r="C20" s="7">
        <v>11923.2</v>
      </c>
      <c r="D20" s="7">
        <v>13572.8</v>
      </c>
      <c r="E20" s="7">
        <v>11063.9</v>
      </c>
      <c r="F20" s="7">
        <v>4483.1000000000004</v>
      </c>
      <c r="G20" s="7">
        <v>2237.3000000000002</v>
      </c>
      <c r="H20" s="7">
        <v>15815.8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6">
        <f t="shared" si="0"/>
        <v>67175.100000000006</v>
      </c>
    </row>
    <row r="21" spans="1:46" x14ac:dyDescent="0.3">
      <c r="A21" s="4">
        <v>44835</v>
      </c>
      <c r="B21" s="7">
        <v>7320.8</v>
      </c>
      <c r="C21" s="7">
        <v>12183</v>
      </c>
      <c r="D21" s="7">
        <v>12607.2</v>
      </c>
      <c r="E21" s="7">
        <v>10220</v>
      </c>
      <c r="F21" s="7">
        <v>4092.4</v>
      </c>
      <c r="G21" s="7">
        <v>2081.5</v>
      </c>
      <c r="H21" s="7">
        <v>15067.1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6">
        <f t="shared" si="0"/>
        <v>63572</v>
      </c>
    </row>
    <row r="22" spans="1:46" x14ac:dyDescent="0.3">
      <c r="A22" s="4">
        <v>44866</v>
      </c>
      <c r="B22" s="7">
        <v>4758.8</v>
      </c>
      <c r="C22" s="7">
        <v>8073.9</v>
      </c>
      <c r="D22" s="7">
        <v>8333</v>
      </c>
      <c r="E22" s="7">
        <v>6727.7</v>
      </c>
      <c r="F22" s="7">
        <v>2715</v>
      </c>
      <c r="G22" s="7">
        <v>1429.3</v>
      </c>
      <c r="H22" s="7">
        <v>7459.6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6">
        <f t="shared" si="0"/>
        <v>39497.300000000003</v>
      </c>
    </row>
    <row r="23" spans="1:46" x14ac:dyDescent="0.3">
      <c r="A23" s="4">
        <v>44896</v>
      </c>
      <c r="B23" s="7">
        <v>3421.2</v>
      </c>
      <c r="C23" s="7">
        <v>5974</v>
      </c>
      <c r="D23" s="7">
        <v>6125</v>
      </c>
      <c r="E23" s="7">
        <v>4857.7</v>
      </c>
      <c r="F23" s="7">
        <v>1958.8</v>
      </c>
      <c r="G23" s="7">
        <v>1059.3</v>
      </c>
      <c r="H23" s="7">
        <v>7467.5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6">
        <f t="shared" si="0"/>
        <v>30863.5</v>
      </c>
    </row>
    <row r="24" spans="1:46" x14ac:dyDescent="0.3">
      <c r="A24" s="25">
        <v>44927</v>
      </c>
      <c r="B24" s="26">
        <v>3936.6</v>
      </c>
      <c r="C24" s="26">
        <v>7082.8</v>
      </c>
      <c r="D24" s="26">
        <v>6992</v>
      </c>
      <c r="E24" s="26">
        <v>5536.9</v>
      </c>
      <c r="F24" s="26">
        <v>2293.8000000000002</v>
      </c>
      <c r="G24" s="26">
        <v>1196.5</v>
      </c>
      <c r="H24" s="26">
        <v>8696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6">
        <f t="shared" si="0"/>
        <v>35734.600000000006</v>
      </c>
      <c r="AR24" s="28">
        <f>SUM(AQ24:AQ35)</f>
        <v>675872.6</v>
      </c>
      <c r="AS24" s="27" t="s">
        <v>30</v>
      </c>
      <c r="AT24" s="6">
        <f>(AR24/1000)*AS3</f>
        <v>941047.83524699986</v>
      </c>
    </row>
    <row r="25" spans="1:46" x14ac:dyDescent="0.3">
      <c r="A25" s="25">
        <v>44958</v>
      </c>
      <c r="B25" s="26">
        <v>4473</v>
      </c>
      <c r="C25" s="26">
        <v>7822</v>
      </c>
      <c r="D25" s="26">
        <v>7758</v>
      </c>
      <c r="E25" s="26">
        <v>6120</v>
      </c>
      <c r="F25" s="26">
        <v>2647</v>
      </c>
      <c r="G25" s="26">
        <v>1333</v>
      </c>
      <c r="H25" s="26">
        <v>9378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6">
        <f t="shared" si="0"/>
        <v>39531</v>
      </c>
    </row>
    <row r="26" spans="1:46" x14ac:dyDescent="0.3">
      <c r="A26" s="25">
        <v>44986</v>
      </c>
      <c r="B26" s="26">
        <v>7353</v>
      </c>
      <c r="C26" s="26">
        <v>12153</v>
      </c>
      <c r="D26" s="26">
        <v>12363</v>
      </c>
      <c r="E26" s="26">
        <v>9842</v>
      </c>
      <c r="F26" s="26">
        <v>4281</v>
      </c>
      <c r="G26" s="26">
        <v>2138</v>
      </c>
      <c r="H26" s="26">
        <v>14772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6">
        <f t="shared" si="0"/>
        <v>62902</v>
      </c>
    </row>
    <row r="27" spans="1:46" x14ac:dyDescent="0.3">
      <c r="A27" s="25">
        <v>45017</v>
      </c>
      <c r="B27" s="26">
        <v>8095</v>
      </c>
      <c r="C27" s="26">
        <v>12271</v>
      </c>
      <c r="D27" s="26">
        <v>13353</v>
      </c>
      <c r="E27" s="26">
        <v>10433</v>
      </c>
      <c r="F27" s="26">
        <v>4667</v>
      </c>
      <c r="G27" s="26">
        <v>2310</v>
      </c>
      <c r="H27" s="26">
        <v>15654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6">
        <f t="shared" si="0"/>
        <v>66783</v>
      </c>
    </row>
    <row r="28" spans="1:46" x14ac:dyDescent="0.3">
      <c r="A28" s="25">
        <v>45047</v>
      </c>
      <c r="B28" s="26">
        <v>8809</v>
      </c>
      <c r="C28" s="26">
        <v>11812</v>
      </c>
      <c r="D28" s="26">
        <v>14007</v>
      </c>
      <c r="E28" s="26">
        <v>10883</v>
      </c>
      <c r="F28" s="26">
        <v>4954</v>
      </c>
      <c r="G28" s="26">
        <v>2488</v>
      </c>
      <c r="H28" s="26">
        <v>15854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6">
        <f t="shared" si="0"/>
        <v>68807</v>
      </c>
    </row>
    <row r="29" spans="1:46" x14ac:dyDescent="0.3">
      <c r="A29" s="25">
        <v>45078</v>
      </c>
      <c r="B29" s="26">
        <v>8448</v>
      </c>
      <c r="C29" s="26">
        <v>12311</v>
      </c>
      <c r="D29" s="26">
        <v>14118</v>
      </c>
      <c r="E29" s="26">
        <v>11166</v>
      </c>
      <c r="F29" s="26">
        <v>4969</v>
      </c>
      <c r="G29" s="26">
        <v>2640</v>
      </c>
      <c r="H29" s="26">
        <v>16247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6">
        <f t="shared" si="0"/>
        <v>69899</v>
      </c>
    </row>
    <row r="30" spans="1:46" x14ac:dyDescent="0.3">
      <c r="A30" s="25">
        <v>45108</v>
      </c>
      <c r="B30" s="26">
        <v>9191</v>
      </c>
      <c r="C30" s="26">
        <v>15058</v>
      </c>
      <c r="D30" s="26">
        <v>15714</v>
      </c>
      <c r="E30" s="26">
        <v>12103</v>
      </c>
      <c r="F30" s="26">
        <v>5394</v>
      </c>
      <c r="G30" s="26">
        <v>2679</v>
      </c>
      <c r="H30" s="26">
        <v>17843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6">
        <f t="shared" si="0"/>
        <v>77982</v>
      </c>
    </row>
    <row r="31" spans="1:46" x14ac:dyDescent="0.3">
      <c r="A31" s="25">
        <v>45139</v>
      </c>
      <c r="B31" s="26">
        <v>8229</v>
      </c>
      <c r="C31" s="26">
        <v>13738</v>
      </c>
      <c r="D31" s="26">
        <v>13782</v>
      </c>
      <c r="E31" s="26">
        <v>10940</v>
      </c>
      <c r="F31" s="26">
        <v>4872</v>
      </c>
      <c r="G31" s="26">
        <v>2538</v>
      </c>
      <c r="H31" s="26">
        <v>16100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6">
        <f t="shared" si="0"/>
        <v>70199</v>
      </c>
    </row>
    <row r="32" spans="1:46" x14ac:dyDescent="0.3">
      <c r="A32" s="25">
        <v>45170</v>
      </c>
      <c r="B32" s="26">
        <v>7339</v>
      </c>
      <c r="C32" s="26">
        <v>11143</v>
      </c>
      <c r="D32" s="26">
        <v>11878</v>
      </c>
      <c r="E32" s="26">
        <v>9589</v>
      </c>
      <c r="F32" s="26">
        <v>4114</v>
      </c>
      <c r="G32" s="26">
        <v>2150</v>
      </c>
      <c r="H32" s="26">
        <v>13717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6">
        <f t="shared" si="0"/>
        <v>59930</v>
      </c>
    </row>
    <row r="33" spans="1:43" x14ac:dyDescent="0.3">
      <c r="A33" s="25">
        <v>45200</v>
      </c>
      <c r="B33" s="26">
        <v>6248</v>
      </c>
      <c r="C33" s="26">
        <v>9426</v>
      </c>
      <c r="D33" s="26">
        <v>10278</v>
      </c>
      <c r="E33" s="26">
        <v>8301</v>
      </c>
      <c r="F33" s="26">
        <v>3520</v>
      </c>
      <c r="G33" s="26">
        <v>1888</v>
      </c>
      <c r="H33" s="26">
        <v>12501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6">
        <f t="shared" si="0"/>
        <v>52162</v>
      </c>
    </row>
    <row r="34" spans="1:43" x14ac:dyDescent="0.3">
      <c r="A34" s="25">
        <v>45231</v>
      </c>
      <c r="B34" s="26">
        <v>4633</v>
      </c>
      <c r="C34" s="26">
        <v>7048</v>
      </c>
      <c r="D34" s="26">
        <v>7802</v>
      </c>
      <c r="E34" s="26">
        <v>6177</v>
      </c>
      <c r="F34" s="26">
        <v>2649</v>
      </c>
      <c r="G34" s="26">
        <v>1413</v>
      </c>
      <c r="H34" s="26">
        <v>9258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6">
        <f t="shared" si="0"/>
        <v>38980</v>
      </c>
    </row>
    <row r="35" spans="1:43" x14ac:dyDescent="0.3">
      <c r="A35" s="25">
        <v>45261</v>
      </c>
      <c r="B35" s="26">
        <v>3821</v>
      </c>
      <c r="C35" s="26">
        <v>6048</v>
      </c>
      <c r="D35" s="26">
        <v>6564</v>
      </c>
      <c r="E35" s="26">
        <v>5126</v>
      </c>
      <c r="F35" s="26">
        <v>2194</v>
      </c>
      <c r="G35" s="26">
        <v>1179</v>
      </c>
      <c r="H35" s="26">
        <v>8031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6">
        <f t="shared" si="0"/>
        <v>32963</v>
      </c>
    </row>
    <row r="36" spans="1:43" x14ac:dyDescent="0.3">
      <c r="A36" s="4">
        <v>45292</v>
      </c>
      <c r="B36" s="7">
        <v>4404</v>
      </c>
      <c r="C36" s="7">
        <v>7365</v>
      </c>
      <c r="D36" s="7">
        <v>7571</v>
      </c>
      <c r="E36" s="7">
        <v>5884</v>
      </c>
      <c r="F36" s="7">
        <v>2544</v>
      </c>
      <c r="G36" s="7">
        <v>1369</v>
      </c>
      <c r="H36" s="7">
        <v>9262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6">
        <f t="shared" si="0"/>
        <v>38399</v>
      </c>
    </row>
    <row r="37" spans="1:43" x14ac:dyDescent="0.3">
      <c r="A37" s="4">
        <v>45323</v>
      </c>
      <c r="B37" s="6">
        <v>5354</v>
      </c>
      <c r="C37" s="6">
        <v>8060</v>
      </c>
      <c r="D37" s="6">
        <v>8842</v>
      </c>
      <c r="E37" s="6">
        <v>6978</v>
      </c>
      <c r="F37" s="6">
        <v>3007</v>
      </c>
      <c r="G37" s="6">
        <v>1561</v>
      </c>
      <c r="H37" s="6">
        <v>10286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>
        <f t="shared" si="0"/>
        <v>44088</v>
      </c>
    </row>
    <row r="38" spans="1:43" x14ac:dyDescent="0.3">
      <c r="A38" s="4">
        <v>45352</v>
      </c>
      <c r="B38" s="6">
        <v>6893</v>
      </c>
      <c r="C38" s="6">
        <v>10439</v>
      </c>
      <c r="D38" s="6">
        <v>11328</v>
      </c>
      <c r="E38" s="6">
        <v>8989</v>
      </c>
      <c r="F38" s="6">
        <v>3843</v>
      </c>
      <c r="G38" s="6">
        <v>1994</v>
      </c>
      <c r="H38" s="6">
        <v>13015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f t="shared" si="0"/>
        <v>56501</v>
      </c>
    </row>
    <row r="39" spans="1:43" x14ac:dyDescent="0.3">
      <c r="A39" s="4">
        <v>45383</v>
      </c>
      <c r="B39" s="6">
        <v>7865</v>
      </c>
      <c r="C39" s="6">
        <v>12443</v>
      </c>
      <c r="D39" s="6">
        <v>13159</v>
      </c>
      <c r="E39" s="6">
        <v>10524</v>
      </c>
      <c r="F39" s="6">
        <v>4480</v>
      </c>
      <c r="G39" s="6">
        <v>2304</v>
      </c>
      <c r="H39" s="6">
        <v>15480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f t="shared" si="0"/>
        <v>66255</v>
      </c>
    </row>
    <row r="40" spans="1:43" x14ac:dyDescent="0.3">
      <c r="A40" s="4">
        <v>45413</v>
      </c>
      <c r="B40" s="6">
        <v>8220</v>
      </c>
      <c r="C40" s="6">
        <v>13876</v>
      </c>
      <c r="D40" s="6">
        <v>14099</v>
      </c>
      <c r="E40" s="6">
        <v>11132</v>
      </c>
      <c r="F40" s="6">
        <v>4587</v>
      </c>
      <c r="G40" s="6">
        <v>2402</v>
      </c>
      <c r="H40" s="6">
        <v>15597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f t="shared" si="0"/>
        <v>69913</v>
      </c>
    </row>
    <row r="41" spans="1:43" x14ac:dyDescent="0.3">
      <c r="A41" s="4">
        <v>45444</v>
      </c>
      <c r="B41" s="6">
        <v>10126</v>
      </c>
      <c r="C41" s="6">
        <v>15495</v>
      </c>
      <c r="D41" s="6">
        <v>16968</v>
      </c>
      <c r="E41" s="6">
        <v>13349</v>
      </c>
      <c r="F41" s="6">
        <v>5147</v>
      </c>
      <c r="G41" s="6">
        <v>2823</v>
      </c>
      <c r="H41" s="6">
        <v>17475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f t="shared" si="0"/>
        <v>81383</v>
      </c>
    </row>
    <row r="42" spans="1:43" x14ac:dyDescent="0.3">
      <c r="A42" s="4">
        <v>45474</v>
      </c>
      <c r="B42" s="6">
        <v>8333</v>
      </c>
      <c r="C42" s="6">
        <v>14300</v>
      </c>
      <c r="D42" s="6">
        <v>14609</v>
      </c>
      <c r="E42" s="6">
        <v>11560</v>
      </c>
      <c r="F42" s="6">
        <v>4851</v>
      </c>
      <c r="G42" s="6">
        <v>2416</v>
      </c>
      <c r="H42" s="6">
        <v>15838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f t="shared" si="0"/>
        <v>71907</v>
      </c>
    </row>
    <row r="43" spans="1:43" x14ac:dyDescent="0.3">
      <c r="A43" s="4">
        <v>45505</v>
      </c>
      <c r="B43" s="6">
        <v>9922</v>
      </c>
      <c r="C43" s="6">
        <v>16803</v>
      </c>
      <c r="D43" s="6">
        <v>17145</v>
      </c>
      <c r="E43" s="6">
        <v>13756</v>
      </c>
      <c r="F43" s="6">
        <v>5648</v>
      </c>
      <c r="G43" s="6">
        <v>2811</v>
      </c>
      <c r="H43" s="6">
        <v>18648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>
        <f t="shared" si="0"/>
        <v>84733</v>
      </c>
    </row>
    <row r="44" spans="1:43" x14ac:dyDescent="0.3">
      <c r="A44" s="4">
        <v>45536</v>
      </c>
      <c r="B44" s="6">
        <v>6297</v>
      </c>
      <c r="C44" s="6">
        <v>10349</v>
      </c>
      <c r="D44" s="6">
        <v>10423</v>
      </c>
      <c r="E44" s="6">
        <v>8542</v>
      </c>
      <c r="F44" s="6">
        <v>3374</v>
      </c>
      <c r="G44" s="6">
        <v>1812</v>
      </c>
      <c r="H44" s="6">
        <v>12265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f t="shared" si="0"/>
        <v>53062</v>
      </c>
    </row>
    <row r="45" spans="1:43" x14ac:dyDescent="0.3">
      <c r="A45" s="4">
        <v>45566</v>
      </c>
      <c r="B45" s="6">
        <v>7539</v>
      </c>
      <c r="C45" s="6">
        <v>11734</v>
      </c>
      <c r="D45" s="6">
        <v>12751</v>
      </c>
      <c r="E45" s="6">
        <v>10212</v>
      </c>
      <c r="F45" s="6">
        <v>4114</v>
      </c>
      <c r="G45" s="6">
        <v>2143</v>
      </c>
      <c r="H45" s="6">
        <v>14892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f t="shared" si="0"/>
        <v>63385</v>
      </c>
    </row>
    <row r="46" spans="1:43" x14ac:dyDescent="0.3">
      <c r="A46" s="4">
        <v>45597</v>
      </c>
      <c r="B46" s="6">
        <v>4473</v>
      </c>
      <c r="C46" s="6">
        <v>6670</v>
      </c>
      <c r="D46" s="6">
        <v>6138</v>
      </c>
      <c r="E46" s="6">
        <v>5974</v>
      </c>
      <c r="F46" s="6">
        <v>2361</v>
      </c>
      <c r="G46" s="6">
        <v>1278</v>
      </c>
      <c r="H46" s="6">
        <v>8825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>
        <f t="shared" si="0"/>
        <v>35719</v>
      </c>
    </row>
    <row r="47" spans="1:43" x14ac:dyDescent="0.3">
      <c r="A47" s="4">
        <v>45627</v>
      </c>
      <c r="B47" s="6">
        <v>4256</v>
      </c>
      <c r="C47" s="6">
        <v>7106</v>
      </c>
      <c r="D47" s="6">
        <v>7738</v>
      </c>
      <c r="E47" s="6">
        <v>6010</v>
      </c>
      <c r="F47" s="6">
        <v>2442</v>
      </c>
      <c r="G47" s="6">
        <v>1328</v>
      </c>
      <c r="H47" s="6">
        <v>9230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f t="shared" si="0"/>
        <v>38110</v>
      </c>
    </row>
    <row r="48" spans="1:43" x14ac:dyDescent="0.3">
      <c r="A48" s="4">
        <v>45658</v>
      </c>
      <c r="B48" s="6">
        <v>4812</v>
      </c>
      <c r="C48" s="6">
        <v>7562</v>
      </c>
      <c r="D48" s="6">
        <v>7729</v>
      </c>
      <c r="E48" s="6">
        <v>6353</v>
      </c>
      <c r="F48" s="6">
        <v>2544</v>
      </c>
      <c r="G48" s="6">
        <v>1400</v>
      </c>
      <c r="H48" s="6">
        <v>9682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f t="shared" si="0"/>
        <v>40082</v>
      </c>
    </row>
    <row r="49" spans="1:43" x14ac:dyDescent="0.3">
      <c r="A49" s="4">
        <v>45689</v>
      </c>
      <c r="B49" s="6">
        <v>5541</v>
      </c>
      <c r="C49" s="6">
        <v>8595</v>
      </c>
      <c r="D49" s="6">
        <v>9423</v>
      </c>
      <c r="E49" s="6">
        <v>7422</v>
      </c>
      <c r="F49" s="6">
        <v>3032</v>
      </c>
      <c r="G49" s="6">
        <v>1577</v>
      </c>
      <c r="H49" s="6">
        <v>10794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>
        <f t="shared" si="0"/>
        <v>46384</v>
      </c>
    </row>
    <row r="50" spans="1:43" x14ac:dyDescent="0.3">
      <c r="A50" s="4">
        <v>45717</v>
      </c>
      <c r="B50" s="6">
        <v>7804</v>
      </c>
      <c r="C50" s="6">
        <v>12195</v>
      </c>
      <c r="D50" s="6">
        <v>13660</v>
      </c>
      <c r="E50" s="6">
        <v>10808</v>
      </c>
      <c r="F50" s="6">
        <v>4399</v>
      </c>
      <c r="G50" s="6">
        <v>2295</v>
      </c>
      <c r="H50" s="6">
        <v>15586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f t="shared" si="0"/>
        <v>66747</v>
      </c>
    </row>
    <row r="51" spans="1:43" x14ac:dyDescent="0.3">
      <c r="A51" s="4">
        <v>45748</v>
      </c>
      <c r="B51" s="6">
        <v>7940</v>
      </c>
      <c r="C51" s="6">
        <v>12616</v>
      </c>
      <c r="D51" s="6">
        <v>14164</v>
      </c>
      <c r="E51" s="6">
        <v>11205</v>
      </c>
      <c r="F51" s="6">
        <v>4590</v>
      </c>
      <c r="G51" s="6">
        <v>2335</v>
      </c>
      <c r="H51" s="6">
        <v>15237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f t="shared" si="0"/>
        <v>68087</v>
      </c>
    </row>
    <row r="52" spans="1:43" x14ac:dyDescent="0.3">
      <c r="A52" s="4">
        <v>45778</v>
      </c>
      <c r="B52" s="6">
        <v>7624</v>
      </c>
      <c r="C52" s="6">
        <v>9775</v>
      </c>
      <c r="D52" s="6">
        <v>13736</v>
      </c>
      <c r="E52" s="6">
        <v>10941</v>
      </c>
      <c r="F52" s="6">
        <v>4463</v>
      </c>
      <c r="G52" s="6">
        <v>2287</v>
      </c>
      <c r="H52" s="6">
        <v>14704</v>
      </c>
      <c r="I52" s="6">
        <v>1508</v>
      </c>
      <c r="J52" s="6">
        <v>1943</v>
      </c>
      <c r="K52" s="6">
        <v>2652</v>
      </c>
      <c r="L52" s="6">
        <v>4519</v>
      </c>
      <c r="M52" s="6">
        <v>554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f t="shared" si="0"/>
        <v>74706</v>
      </c>
    </row>
    <row r="53" spans="1:43" x14ac:dyDescent="0.3">
      <c r="A53" s="4">
        <v>45809</v>
      </c>
      <c r="B53" s="6">
        <v>8622</v>
      </c>
      <c r="C53" s="6">
        <v>10064</v>
      </c>
      <c r="D53" s="6">
        <v>13705</v>
      </c>
      <c r="E53" s="6">
        <v>11886</v>
      </c>
      <c r="F53" s="6">
        <v>4765</v>
      </c>
      <c r="G53" s="6">
        <v>2415</v>
      </c>
      <c r="H53" s="6">
        <v>14941</v>
      </c>
      <c r="I53" s="6">
        <v>4618</v>
      </c>
      <c r="J53" s="6">
        <v>12205</v>
      </c>
      <c r="K53" s="6">
        <v>37032</v>
      </c>
      <c r="L53" s="6">
        <v>19655</v>
      </c>
      <c r="M53" s="6">
        <v>5857</v>
      </c>
      <c r="N53" s="6">
        <v>4615</v>
      </c>
      <c r="O53" s="6">
        <v>1678</v>
      </c>
      <c r="P53" s="6"/>
      <c r="Q53" s="6">
        <v>17422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>
        <f t="shared" si="0"/>
        <v>169480</v>
      </c>
    </row>
    <row r="54" spans="1:43" x14ac:dyDescent="0.3">
      <c r="A54" s="4">
        <v>45839</v>
      </c>
      <c r="B54" s="6">
        <v>9507</v>
      </c>
      <c r="C54" s="6">
        <v>11187</v>
      </c>
      <c r="D54" s="6">
        <v>14317</v>
      </c>
      <c r="E54" s="6">
        <v>10126</v>
      </c>
      <c r="F54" s="6">
        <v>5352</v>
      </c>
      <c r="G54" s="6">
        <v>2591</v>
      </c>
      <c r="H54" s="6">
        <v>17268</v>
      </c>
      <c r="I54" s="6">
        <v>5006</v>
      </c>
      <c r="J54" s="6">
        <v>13261</v>
      </c>
      <c r="K54" s="6">
        <v>40651</v>
      </c>
      <c r="L54" s="6">
        <v>20886</v>
      </c>
      <c r="M54" s="6">
        <v>8218</v>
      </c>
      <c r="N54" s="6">
        <v>18601</v>
      </c>
      <c r="O54" s="6">
        <v>3523</v>
      </c>
      <c r="P54" s="6"/>
      <c r="Q54" s="6">
        <v>20773</v>
      </c>
      <c r="R54" s="6"/>
      <c r="S54" s="6"/>
      <c r="T54" s="6">
        <v>2997</v>
      </c>
      <c r="U54" s="6"/>
      <c r="V54" s="6"/>
      <c r="W54" s="6"/>
      <c r="X54" s="6">
        <v>5823</v>
      </c>
      <c r="Y54" s="6">
        <v>3322</v>
      </c>
      <c r="Z54" s="6"/>
      <c r="AA54" s="6">
        <v>21553</v>
      </c>
      <c r="AB54" s="6">
        <v>2094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f t="shared" si="0"/>
        <v>237056</v>
      </c>
    </row>
    <row r="55" spans="1:43" x14ac:dyDescent="0.3">
      <c r="A55" s="4">
        <v>45870</v>
      </c>
      <c r="B55" s="6">
        <v>7275</v>
      </c>
      <c r="C55" s="6">
        <v>8251</v>
      </c>
      <c r="D55" s="6">
        <v>10513</v>
      </c>
      <c r="E55" s="6">
        <v>9297</v>
      </c>
      <c r="F55" s="6">
        <v>3916</v>
      </c>
      <c r="G55" s="6">
        <v>1937</v>
      </c>
      <c r="H55" s="6">
        <v>12687</v>
      </c>
      <c r="I55" s="6">
        <v>3886</v>
      </c>
      <c r="J55" s="6">
        <v>10423</v>
      </c>
      <c r="K55" s="6">
        <v>31347</v>
      </c>
      <c r="L55" s="6">
        <v>16593</v>
      </c>
      <c r="M55" s="6">
        <v>6213</v>
      </c>
      <c r="N55" s="6">
        <v>14517</v>
      </c>
      <c r="O55" s="6">
        <v>2738</v>
      </c>
      <c r="P55" s="6"/>
      <c r="Q55" s="6">
        <v>15999</v>
      </c>
      <c r="R55" s="6"/>
      <c r="S55" s="6">
        <v>10488</v>
      </c>
      <c r="T55" s="6">
        <v>4288</v>
      </c>
      <c r="U55" s="6"/>
      <c r="V55" s="6"/>
      <c r="W55" s="6"/>
      <c r="X55" s="6">
        <v>18316</v>
      </c>
      <c r="Y55" s="6">
        <v>2283</v>
      </c>
      <c r="Z55" s="6">
        <v>868</v>
      </c>
      <c r="AA55" s="6">
        <v>17432</v>
      </c>
      <c r="AB55" s="6">
        <v>3036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>
        <f t="shared" si="0"/>
        <v>212303</v>
      </c>
    </row>
    <row r="56" spans="1:43" x14ac:dyDescent="0.3">
      <c r="A56" s="4">
        <v>45901</v>
      </c>
      <c r="B56" s="6">
        <v>7409</v>
      </c>
      <c r="C56" s="6">
        <v>8807</v>
      </c>
      <c r="D56" s="6">
        <v>12111</v>
      </c>
      <c r="E56" s="6">
        <v>7808</v>
      </c>
      <c r="F56" s="6">
        <v>4200</v>
      </c>
      <c r="G56" s="6">
        <v>2119</v>
      </c>
      <c r="H56" s="6">
        <v>13909</v>
      </c>
      <c r="I56" s="6">
        <v>4153</v>
      </c>
      <c r="J56" s="6">
        <v>10522</v>
      </c>
      <c r="K56" s="6">
        <v>31998</v>
      </c>
      <c r="L56" s="6">
        <v>18001</v>
      </c>
      <c r="M56" s="6">
        <v>6557</v>
      </c>
      <c r="N56" s="6">
        <v>16504</v>
      </c>
      <c r="O56" s="6">
        <v>2933</v>
      </c>
      <c r="P56" s="6"/>
      <c r="Q56" s="6">
        <v>17687</v>
      </c>
      <c r="R56" s="6">
        <v>6855</v>
      </c>
      <c r="S56" s="6">
        <v>16833</v>
      </c>
      <c r="T56" s="6">
        <v>4134</v>
      </c>
      <c r="U56" s="6">
        <v>1843</v>
      </c>
      <c r="V56" s="6">
        <v>165</v>
      </c>
      <c r="W56" s="6">
        <v>9808</v>
      </c>
      <c r="X56" s="6">
        <v>19017</v>
      </c>
      <c r="Y56" s="6">
        <v>2532</v>
      </c>
      <c r="Z56" s="6">
        <v>3301</v>
      </c>
      <c r="AA56" s="6">
        <v>18602</v>
      </c>
      <c r="AB56" s="6">
        <v>3108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>
        <f t="shared" si="0"/>
        <v>250916</v>
      </c>
    </row>
    <row r="57" spans="1:43" x14ac:dyDescent="0.3">
      <c r="A57" s="4">
        <v>45931</v>
      </c>
      <c r="B57" s="6">
        <v>6071</v>
      </c>
      <c r="C57" s="6">
        <v>8942</v>
      </c>
      <c r="D57" s="6">
        <v>10320</v>
      </c>
      <c r="E57" s="6">
        <v>3562</v>
      </c>
      <c r="F57" s="6">
        <v>3277</v>
      </c>
      <c r="G57" s="6">
        <v>1658</v>
      </c>
      <c r="H57" s="6">
        <v>11820</v>
      </c>
      <c r="I57" s="6">
        <v>3400</v>
      </c>
      <c r="J57" s="6">
        <v>8599</v>
      </c>
      <c r="K57" s="6">
        <v>25870</v>
      </c>
      <c r="L57" s="6">
        <v>15160</v>
      </c>
      <c r="M57" s="6">
        <v>5073</v>
      </c>
      <c r="N57" s="6">
        <v>13999</v>
      </c>
      <c r="O57" s="6">
        <v>2197</v>
      </c>
      <c r="P57" s="6"/>
      <c r="Q57" s="6">
        <v>14290</v>
      </c>
      <c r="R57" s="6">
        <v>7504</v>
      </c>
      <c r="S57" s="6">
        <v>14789</v>
      </c>
      <c r="T57" s="6">
        <v>3062</v>
      </c>
      <c r="U57" s="6">
        <v>3854</v>
      </c>
      <c r="V57" s="6">
        <v>9511</v>
      </c>
      <c r="W57" s="6">
        <v>9959</v>
      </c>
      <c r="X57" s="6">
        <v>15743</v>
      </c>
      <c r="Y57" s="6">
        <v>1946</v>
      </c>
      <c r="Z57" s="6">
        <v>2614</v>
      </c>
      <c r="AA57" s="6">
        <v>14412</v>
      </c>
      <c r="AB57" s="6">
        <v>2284</v>
      </c>
      <c r="AC57" s="6"/>
      <c r="AD57" s="6">
        <v>7265</v>
      </c>
      <c r="AE57" s="6">
        <v>273</v>
      </c>
      <c r="AF57" s="6"/>
      <c r="AG57" s="6"/>
      <c r="AH57" s="6"/>
      <c r="AI57" s="6">
        <v>2259</v>
      </c>
      <c r="AJ57" s="6"/>
      <c r="AK57" s="6"/>
      <c r="AL57" s="6"/>
      <c r="AM57" s="6"/>
      <c r="AN57" s="6"/>
      <c r="AO57" s="6"/>
      <c r="AP57" s="6"/>
      <c r="AQ57" s="6">
        <f t="shared" si="0"/>
        <v>229713</v>
      </c>
    </row>
    <row r="58" spans="1:43" x14ac:dyDescent="0.3">
      <c r="A58" s="4">
        <v>45962</v>
      </c>
      <c r="B58" s="6">
        <v>5092</v>
      </c>
      <c r="C58" s="6">
        <v>8208</v>
      </c>
      <c r="D58" s="6">
        <v>9076</v>
      </c>
      <c r="E58" s="6">
        <v>3089</v>
      </c>
      <c r="F58" s="6">
        <v>2846</v>
      </c>
      <c r="G58" s="6">
        <v>1457</v>
      </c>
      <c r="H58" s="6">
        <v>10640</v>
      </c>
      <c r="I58" s="6">
        <v>2715</v>
      </c>
      <c r="J58" s="6">
        <v>7525</v>
      </c>
      <c r="K58" s="6">
        <v>20491</v>
      </c>
      <c r="L58" s="6">
        <v>13709</v>
      </c>
      <c r="M58" s="6">
        <v>4382</v>
      </c>
      <c r="N58" s="6">
        <v>12902</v>
      </c>
      <c r="O58" s="6">
        <v>1872</v>
      </c>
      <c r="P58" s="6"/>
      <c r="Q58" s="6">
        <v>12048</v>
      </c>
      <c r="R58" s="6">
        <v>7107</v>
      </c>
      <c r="S58" s="6">
        <v>13037</v>
      </c>
      <c r="T58" s="6">
        <v>2213</v>
      </c>
      <c r="U58" s="6">
        <v>3238</v>
      </c>
      <c r="V58" s="6">
        <v>7907</v>
      </c>
      <c r="W58" s="6">
        <v>7379</v>
      </c>
      <c r="X58" s="6">
        <v>13434</v>
      </c>
      <c r="Y58" s="6">
        <v>1525</v>
      </c>
      <c r="Z58" s="6">
        <v>2245</v>
      </c>
      <c r="AA58" s="6">
        <v>10402</v>
      </c>
      <c r="AB58" s="6">
        <v>1595</v>
      </c>
      <c r="AC58" s="6">
        <v>4721</v>
      </c>
      <c r="AD58" s="6">
        <v>7691</v>
      </c>
      <c r="AE58" s="6">
        <v>4518</v>
      </c>
      <c r="AF58" s="6">
        <v>29</v>
      </c>
      <c r="AG58" s="6">
        <v>6875</v>
      </c>
      <c r="AH58" s="6">
        <v>366</v>
      </c>
      <c r="AI58" s="6">
        <v>2494</v>
      </c>
      <c r="AJ58" s="6"/>
      <c r="AK58" s="6"/>
      <c r="AL58" s="6"/>
      <c r="AM58" s="6"/>
      <c r="AN58" s="6"/>
      <c r="AO58" s="6"/>
      <c r="AP58" s="6"/>
      <c r="AQ58" s="6">
        <f t="shared" si="0"/>
        <v>212828</v>
      </c>
    </row>
    <row r="59" spans="1:43" x14ac:dyDescent="0.3">
      <c r="A59" s="4">
        <v>45992</v>
      </c>
      <c r="B59" s="6">
        <v>3885</v>
      </c>
      <c r="C59" s="6">
        <v>6187</v>
      </c>
      <c r="D59" s="6">
        <v>6789</v>
      </c>
      <c r="E59" s="6">
        <v>5405</v>
      </c>
      <c r="F59" s="6">
        <v>2094</v>
      </c>
      <c r="G59" s="6">
        <v>1113</v>
      </c>
      <c r="H59" s="6">
        <v>7963</v>
      </c>
      <c r="I59" s="6">
        <v>2012</v>
      </c>
      <c r="J59" s="6">
        <v>5777</v>
      </c>
      <c r="K59" s="6">
        <v>17600</v>
      </c>
      <c r="L59" s="6">
        <v>10671</v>
      </c>
      <c r="M59" s="6">
        <v>3275</v>
      </c>
      <c r="N59" s="6">
        <v>9953</v>
      </c>
      <c r="O59" s="6">
        <v>1467</v>
      </c>
      <c r="P59" s="6">
        <v>1503</v>
      </c>
      <c r="Q59" s="6">
        <v>8670</v>
      </c>
      <c r="R59" s="6">
        <v>5063</v>
      </c>
      <c r="S59" s="6">
        <v>9805</v>
      </c>
      <c r="T59" s="6">
        <v>1700</v>
      </c>
      <c r="U59" s="6">
        <v>2329</v>
      </c>
      <c r="V59" s="6">
        <v>6254</v>
      </c>
      <c r="W59" s="6">
        <v>4523</v>
      </c>
      <c r="X59" s="6">
        <v>10284</v>
      </c>
      <c r="Y59" s="6">
        <v>1355</v>
      </c>
      <c r="Z59" s="6">
        <v>1721</v>
      </c>
      <c r="AA59" s="6">
        <v>9530</v>
      </c>
      <c r="AB59" s="6">
        <v>1147</v>
      </c>
      <c r="AC59" s="6">
        <v>11751</v>
      </c>
      <c r="AD59" s="6">
        <v>5982</v>
      </c>
      <c r="AE59" s="6">
        <v>3356</v>
      </c>
      <c r="AF59" s="6">
        <v>3260</v>
      </c>
      <c r="AG59" s="6">
        <v>5014</v>
      </c>
      <c r="AH59" s="6">
        <v>2306</v>
      </c>
      <c r="AI59" s="6">
        <v>1781</v>
      </c>
      <c r="AJ59" s="6">
        <v>134</v>
      </c>
      <c r="AK59" s="6"/>
      <c r="AL59" s="6"/>
      <c r="AM59" s="6"/>
      <c r="AN59" s="6"/>
      <c r="AO59" s="6"/>
      <c r="AP59" s="6"/>
      <c r="AQ59" s="6">
        <f t="shared" si="0"/>
        <v>181659</v>
      </c>
    </row>
    <row r="60" spans="1:43" x14ac:dyDescent="0.3">
      <c r="A60" s="4">
        <v>46023</v>
      </c>
      <c r="B60" s="6">
        <v>4275</v>
      </c>
      <c r="C60" s="6">
        <v>6945</v>
      </c>
      <c r="D60" s="6">
        <v>7711</v>
      </c>
      <c r="E60" s="6">
        <v>5987</v>
      </c>
      <c r="F60" s="6">
        <v>2382</v>
      </c>
      <c r="G60" s="6">
        <v>1257</v>
      </c>
      <c r="H60" s="6">
        <v>8618</v>
      </c>
      <c r="I60" s="6">
        <v>2274</v>
      </c>
      <c r="J60" s="6">
        <v>6374</v>
      </c>
      <c r="K60" s="6">
        <v>19022</v>
      </c>
      <c r="L60" s="6">
        <v>11624</v>
      </c>
      <c r="M60" s="6">
        <v>3633</v>
      </c>
      <c r="N60" s="6">
        <v>10794</v>
      </c>
      <c r="O60" s="6">
        <v>1637</v>
      </c>
      <c r="P60" s="6">
        <v>3826</v>
      </c>
      <c r="Q60" s="6">
        <v>10048</v>
      </c>
      <c r="R60" s="6">
        <v>5889</v>
      </c>
      <c r="S60" s="6">
        <v>10835</v>
      </c>
      <c r="T60" s="6">
        <v>1965</v>
      </c>
      <c r="U60" s="6">
        <v>2701</v>
      </c>
      <c r="V60" s="6">
        <v>6965</v>
      </c>
      <c r="W60" s="6">
        <v>5404</v>
      </c>
      <c r="X60" s="6">
        <v>11118</v>
      </c>
      <c r="Y60" s="6">
        <v>1470</v>
      </c>
      <c r="Z60" s="6">
        <v>1914</v>
      </c>
      <c r="AA60" s="6">
        <v>10569</v>
      </c>
      <c r="AB60" s="6">
        <v>1485</v>
      </c>
      <c r="AC60" s="6">
        <v>14622</v>
      </c>
      <c r="AD60" s="6">
        <v>6495</v>
      </c>
      <c r="AE60" s="6">
        <v>3716</v>
      </c>
      <c r="AF60" s="6">
        <v>4302</v>
      </c>
      <c r="AG60" s="6">
        <v>5872</v>
      </c>
      <c r="AH60" s="6">
        <v>2745</v>
      </c>
      <c r="AI60" s="6">
        <v>2229</v>
      </c>
      <c r="AJ60" s="6">
        <v>1638</v>
      </c>
      <c r="AK60" s="6">
        <v>4025</v>
      </c>
      <c r="AL60" s="6">
        <v>2535</v>
      </c>
      <c r="AM60" s="6"/>
      <c r="AN60" s="6"/>
      <c r="AO60" s="6"/>
      <c r="AP60" s="6"/>
      <c r="AQ60" s="6">
        <f t="shared" si="0"/>
        <v>214901</v>
      </c>
    </row>
    <row r="61" spans="1:43" x14ac:dyDescent="0.3">
      <c r="A61" s="4">
        <v>46054</v>
      </c>
      <c r="B61" s="6">
        <v>5236</v>
      </c>
      <c r="C61" s="6">
        <v>7889</v>
      </c>
      <c r="D61" s="6">
        <v>9242</v>
      </c>
      <c r="E61" s="6">
        <v>7261</v>
      </c>
      <c r="F61" s="6">
        <v>2912</v>
      </c>
      <c r="G61" s="6">
        <v>1478</v>
      </c>
      <c r="H61" s="6">
        <v>10649</v>
      </c>
      <c r="I61" s="6">
        <v>2868</v>
      </c>
      <c r="J61" s="6">
        <v>7458</v>
      </c>
      <c r="K61" s="6">
        <v>23501</v>
      </c>
      <c r="L61" s="6">
        <v>13231</v>
      </c>
      <c r="M61" s="6">
        <v>4459</v>
      </c>
      <c r="N61" s="6">
        <v>12373</v>
      </c>
      <c r="O61" s="6">
        <v>1995</v>
      </c>
      <c r="P61" s="6">
        <v>4465</v>
      </c>
      <c r="Q61" s="6">
        <v>12183</v>
      </c>
      <c r="R61" s="6">
        <v>7287</v>
      </c>
      <c r="S61" s="6">
        <v>12943</v>
      </c>
      <c r="T61" s="6">
        <v>2618</v>
      </c>
      <c r="U61" s="6">
        <v>3324</v>
      </c>
      <c r="V61" s="6">
        <v>8418</v>
      </c>
      <c r="W61" s="6">
        <v>8126</v>
      </c>
      <c r="X61" s="6">
        <v>13483</v>
      </c>
      <c r="Y61" s="6">
        <v>1810</v>
      </c>
      <c r="Z61" s="6">
        <v>2359</v>
      </c>
      <c r="AA61" s="6">
        <v>12703</v>
      </c>
      <c r="AB61" s="6">
        <v>2003</v>
      </c>
      <c r="AC61" s="6">
        <v>14777</v>
      </c>
      <c r="AD61" s="6">
        <v>7333</v>
      </c>
      <c r="AE61" s="6">
        <v>4332</v>
      </c>
      <c r="AF61" s="6">
        <v>4568</v>
      </c>
      <c r="AG61" s="6">
        <v>6731</v>
      </c>
      <c r="AH61" s="6">
        <v>3246</v>
      </c>
      <c r="AI61" s="6">
        <v>2833</v>
      </c>
      <c r="AJ61" s="6">
        <v>2120</v>
      </c>
      <c r="AK61" s="6">
        <v>6471</v>
      </c>
      <c r="AL61" s="6">
        <v>4834</v>
      </c>
      <c r="AM61" s="6"/>
      <c r="AN61" s="6">
        <v>1822</v>
      </c>
      <c r="AO61" s="6"/>
      <c r="AP61" s="6"/>
      <c r="AQ61" s="6">
        <f t="shared" si="0"/>
        <v>261341</v>
      </c>
    </row>
    <row r="62" spans="1:43" x14ac:dyDescent="0.3">
      <c r="A62" s="4">
        <v>46082</v>
      </c>
      <c r="B62" s="6">
        <v>7339</v>
      </c>
      <c r="C62" s="6">
        <v>11221</v>
      </c>
      <c r="D62" s="6">
        <v>13060</v>
      </c>
      <c r="E62" s="6">
        <v>10156</v>
      </c>
      <c r="F62" s="6">
        <v>4130</v>
      </c>
      <c r="G62" s="6">
        <v>2104</v>
      </c>
      <c r="H62" s="6">
        <v>14800</v>
      </c>
      <c r="I62" s="6">
        <v>4030</v>
      </c>
      <c r="J62" s="6">
        <v>10050</v>
      </c>
      <c r="K62" s="6">
        <v>32264</v>
      </c>
      <c r="L62" s="6">
        <v>17380</v>
      </c>
      <c r="M62" s="6">
        <v>5801</v>
      </c>
      <c r="N62" s="6">
        <v>16281</v>
      </c>
      <c r="O62" s="6">
        <v>2852</v>
      </c>
      <c r="P62" s="6">
        <v>6170</v>
      </c>
      <c r="Q62" s="6">
        <v>16597</v>
      </c>
      <c r="R62" s="6">
        <v>10279</v>
      </c>
      <c r="S62" s="6">
        <v>17674</v>
      </c>
      <c r="T62" s="6">
        <v>4275</v>
      </c>
      <c r="U62" s="6">
        <v>4700</v>
      </c>
      <c r="V62" s="6">
        <v>8809</v>
      </c>
      <c r="W62" s="6">
        <v>11472</v>
      </c>
      <c r="X62" s="6">
        <v>18173</v>
      </c>
      <c r="Y62" s="6">
        <v>2732</v>
      </c>
      <c r="Z62" s="6">
        <v>3568</v>
      </c>
      <c r="AA62" s="6">
        <v>18042</v>
      </c>
      <c r="AB62" s="6">
        <v>3052</v>
      </c>
      <c r="AC62" s="6">
        <v>18594</v>
      </c>
      <c r="AD62" s="6">
        <v>9302</v>
      </c>
      <c r="AE62" s="6">
        <v>6023</v>
      </c>
      <c r="AF62" s="6">
        <v>7080</v>
      </c>
      <c r="AG62" s="6">
        <v>9630</v>
      </c>
      <c r="AH62" s="6">
        <v>4526</v>
      </c>
      <c r="AI62" s="6">
        <v>4290</v>
      </c>
      <c r="AJ62" s="6">
        <v>3199</v>
      </c>
      <c r="AK62" s="6">
        <v>9442</v>
      </c>
      <c r="AL62" s="6">
        <v>6350</v>
      </c>
      <c r="AM62" s="6"/>
      <c r="AN62" s="6">
        <v>7089</v>
      </c>
      <c r="AO62" s="6"/>
      <c r="AP62" s="6">
        <v>2943</v>
      </c>
      <c r="AQ62" s="6">
        <f t="shared" si="0"/>
        <v>365479</v>
      </c>
    </row>
    <row r="63" spans="1:43" x14ac:dyDescent="0.3">
      <c r="A63" s="4">
        <v>46113</v>
      </c>
      <c r="B63" s="6">
        <v>8600</v>
      </c>
      <c r="C63" s="6">
        <v>12949</v>
      </c>
      <c r="D63" s="6">
        <v>14859</v>
      </c>
      <c r="E63" s="6">
        <v>11811</v>
      </c>
      <c r="F63" s="6">
        <v>4712</v>
      </c>
      <c r="G63" s="6">
        <v>2425</v>
      </c>
      <c r="H63" s="6">
        <v>17153</v>
      </c>
      <c r="I63" s="6">
        <v>4564</v>
      </c>
      <c r="J63" s="6">
        <v>12029</v>
      </c>
      <c r="K63" s="6">
        <v>37761</v>
      </c>
      <c r="L63" s="6">
        <v>20205</v>
      </c>
      <c r="M63" s="6">
        <v>7491</v>
      </c>
      <c r="N63" s="6">
        <v>18379</v>
      </c>
      <c r="O63" s="6">
        <v>3365</v>
      </c>
      <c r="P63" s="6">
        <v>7117</v>
      </c>
      <c r="Q63" s="6">
        <v>19271</v>
      </c>
      <c r="R63" s="6">
        <v>11900</v>
      </c>
      <c r="S63" s="6">
        <v>20458</v>
      </c>
      <c r="T63" s="6">
        <v>5049</v>
      </c>
      <c r="U63" s="6">
        <v>5675</v>
      </c>
      <c r="V63" s="6">
        <v>12167</v>
      </c>
      <c r="W63" s="6">
        <v>14558</v>
      </c>
      <c r="X63" s="6">
        <v>21569</v>
      </c>
      <c r="Y63" s="6">
        <v>3184</v>
      </c>
      <c r="Z63" s="6">
        <v>4007</v>
      </c>
      <c r="AA63" s="6">
        <v>21220</v>
      </c>
      <c r="AB63" s="6">
        <v>3707</v>
      </c>
      <c r="AC63" s="6">
        <v>13968</v>
      </c>
      <c r="AD63" s="6">
        <v>10827</v>
      </c>
      <c r="AE63" s="6">
        <v>7335</v>
      </c>
      <c r="AF63" s="6">
        <v>8849</v>
      </c>
      <c r="AG63" s="6">
        <v>11630</v>
      </c>
      <c r="AH63" s="6">
        <v>5278</v>
      </c>
      <c r="AI63" s="6">
        <v>5048</v>
      </c>
      <c r="AJ63" s="6">
        <v>3819</v>
      </c>
      <c r="AK63" s="6">
        <v>11953</v>
      </c>
      <c r="AL63" s="6">
        <v>7476</v>
      </c>
      <c r="AM63" s="6"/>
      <c r="AN63" s="6">
        <v>8150</v>
      </c>
      <c r="AO63" s="6">
        <v>173</v>
      </c>
      <c r="AP63" s="6">
        <v>3830</v>
      </c>
      <c r="AQ63" s="6">
        <f t="shared" si="0"/>
        <v>424521</v>
      </c>
    </row>
    <row r="64" spans="1:43" x14ac:dyDescent="0.3">
      <c r="A64" s="4">
        <v>46143</v>
      </c>
      <c r="B64" s="6">
        <v>8025</v>
      </c>
      <c r="C64" s="6">
        <v>12687</v>
      </c>
      <c r="D64" s="6">
        <v>13771</v>
      </c>
      <c r="E64" s="6">
        <v>11050</v>
      </c>
      <c r="F64" s="6">
        <v>4424</v>
      </c>
      <c r="G64" s="6">
        <v>2230</v>
      </c>
      <c r="H64" s="6">
        <v>15275</v>
      </c>
      <c r="I64" s="6">
        <v>4136</v>
      </c>
      <c r="J64" s="6">
        <v>11078</v>
      </c>
      <c r="K64" s="6">
        <v>35147</v>
      </c>
      <c r="L64" s="6">
        <v>18168</v>
      </c>
      <c r="M64" s="6">
        <v>7023</v>
      </c>
      <c r="N64" s="6">
        <v>16559</v>
      </c>
      <c r="O64" s="6">
        <v>3059</v>
      </c>
      <c r="P64" s="6">
        <v>6477</v>
      </c>
      <c r="Q64" s="6">
        <v>17805</v>
      </c>
      <c r="R64" s="6">
        <v>10663</v>
      </c>
      <c r="S64" s="6">
        <v>18683</v>
      </c>
      <c r="T64" s="6">
        <v>4628</v>
      </c>
      <c r="U64" s="6">
        <v>5264</v>
      </c>
      <c r="V64" s="6">
        <v>12467</v>
      </c>
      <c r="W64" s="6">
        <v>13120</v>
      </c>
      <c r="X64" s="6">
        <v>19621</v>
      </c>
      <c r="Y64" s="6">
        <v>3070</v>
      </c>
      <c r="Z64" s="6">
        <v>3655</v>
      </c>
      <c r="AA64" s="6">
        <v>19751</v>
      </c>
      <c r="AB64" s="6">
        <v>3564</v>
      </c>
      <c r="AC64" s="6">
        <v>25566</v>
      </c>
      <c r="AD64" s="6">
        <v>10113</v>
      </c>
      <c r="AE64" s="6">
        <v>7046</v>
      </c>
      <c r="AF64" s="6">
        <v>8216</v>
      </c>
      <c r="AG64" s="6">
        <v>10702</v>
      </c>
      <c r="AH64" s="6">
        <v>4999</v>
      </c>
      <c r="AI64" s="6">
        <v>4787</v>
      </c>
      <c r="AJ64" s="6">
        <v>3550</v>
      </c>
      <c r="AK64" s="6">
        <v>11393</v>
      </c>
      <c r="AL64" s="6">
        <v>6764</v>
      </c>
      <c r="AM64" s="6">
        <v>2116</v>
      </c>
      <c r="AN64" s="6">
        <v>7968</v>
      </c>
      <c r="AO64" s="6">
        <v>2321</v>
      </c>
      <c r="AP64" s="6">
        <v>3480</v>
      </c>
      <c r="AQ64" s="6">
        <f t="shared" si="0"/>
        <v>410421</v>
      </c>
    </row>
    <row r="65" spans="1:49" x14ac:dyDescent="0.3">
      <c r="A65" s="4">
        <v>46174</v>
      </c>
      <c r="B65" s="6">
        <v>8157</v>
      </c>
      <c r="C65" s="6">
        <v>14215</v>
      </c>
      <c r="D65" s="6">
        <v>14314</v>
      </c>
      <c r="E65" s="6">
        <v>11327</v>
      </c>
      <c r="F65" s="6">
        <v>4549</v>
      </c>
      <c r="G65" s="6">
        <v>2291</v>
      </c>
      <c r="H65" s="6">
        <v>15421</v>
      </c>
      <c r="I65" s="6">
        <v>4171</v>
      </c>
      <c r="J65" s="6">
        <v>11503</v>
      </c>
      <c r="K65" s="6">
        <v>35714</v>
      </c>
      <c r="L65" s="6">
        <v>18117</v>
      </c>
      <c r="M65" s="6">
        <v>6917</v>
      </c>
      <c r="N65" s="6">
        <v>16776</v>
      </c>
      <c r="O65" s="6">
        <v>3044</v>
      </c>
      <c r="P65" s="6">
        <v>6682</v>
      </c>
      <c r="Q65" s="6">
        <v>18055</v>
      </c>
      <c r="R65" s="6">
        <v>11137</v>
      </c>
      <c r="S65" s="6">
        <v>17606</v>
      </c>
      <c r="T65" s="6">
        <v>4710</v>
      </c>
      <c r="U65" s="6">
        <v>5450</v>
      </c>
      <c r="V65" s="6">
        <v>12633</v>
      </c>
      <c r="W65" s="6">
        <v>13589</v>
      </c>
      <c r="X65" s="6">
        <v>19177</v>
      </c>
      <c r="Y65" s="6">
        <v>3173</v>
      </c>
      <c r="Z65" s="6">
        <v>3747</v>
      </c>
      <c r="AA65" s="6">
        <v>19713</v>
      </c>
      <c r="AB65" s="6">
        <v>3508</v>
      </c>
      <c r="AC65" s="6">
        <v>26053</v>
      </c>
      <c r="AD65" s="6">
        <v>10246</v>
      </c>
      <c r="AE65" s="6">
        <v>7105</v>
      </c>
      <c r="AF65" s="6">
        <v>8208</v>
      </c>
      <c r="AG65" s="6">
        <v>10945</v>
      </c>
      <c r="AH65" s="6">
        <v>5162</v>
      </c>
      <c r="AI65" s="6">
        <v>4857</v>
      </c>
      <c r="AJ65" s="6">
        <v>3717</v>
      </c>
      <c r="AK65" s="6">
        <v>12242</v>
      </c>
      <c r="AL65" s="6">
        <v>6903</v>
      </c>
      <c r="AM65" s="6">
        <v>2448</v>
      </c>
      <c r="AN65" s="6">
        <v>8342</v>
      </c>
      <c r="AO65" s="6">
        <v>2301</v>
      </c>
      <c r="AP65" s="6">
        <v>3429</v>
      </c>
      <c r="AQ65" s="6">
        <f>SUM(B65:AP65)</f>
        <v>417654</v>
      </c>
    </row>
    <row r="66" spans="1:49" x14ac:dyDescent="0.3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</row>
    <row r="67" spans="1:49" x14ac:dyDescent="0.3">
      <c r="AW67" s="29"/>
    </row>
    <row r="68" spans="1:49" x14ac:dyDescent="0.3">
      <c r="A68" s="13" t="s">
        <v>8</v>
      </c>
      <c r="B68" s="6">
        <f>SUM(B3:B65)</f>
        <v>439664.69999999995</v>
      </c>
      <c r="C68" s="6">
        <f t="shared" ref="C68:AP68" si="1">SUM(C3:C65)</f>
        <v>670254</v>
      </c>
      <c r="D68" s="6">
        <f t="shared" si="1"/>
        <v>745562.2</v>
      </c>
      <c r="E68" s="6">
        <f t="shared" si="1"/>
        <v>516585.30000000005</v>
      </c>
      <c r="F68" s="6">
        <f t="shared" si="1"/>
        <v>212976.80000000002</v>
      </c>
      <c r="G68" s="6">
        <f t="shared" si="1"/>
        <v>109471.7</v>
      </c>
      <c r="H68" s="6">
        <f t="shared" si="1"/>
        <v>696118.8</v>
      </c>
      <c r="I68" s="6">
        <f t="shared" si="1"/>
        <v>49341</v>
      </c>
      <c r="J68" s="6">
        <f t="shared" si="1"/>
        <v>128747</v>
      </c>
      <c r="K68" s="6">
        <f t="shared" si="1"/>
        <v>391050</v>
      </c>
      <c r="L68" s="6">
        <f t="shared" si="1"/>
        <v>217919</v>
      </c>
      <c r="M68" s="6">
        <f t="shared" si="1"/>
        <v>75453</v>
      </c>
      <c r="N68" s="6">
        <f t="shared" si="1"/>
        <v>182253</v>
      </c>
      <c r="O68" s="6">
        <f t="shared" si="1"/>
        <v>32360</v>
      </c>
      <c r="P68" s="6">
        <f t="shared" si="1"/>
        <v>36240</v>
      </c>
      <c r="Q68" s="6">
        <f t="shared" si="1"/>
        <v>200848</v>
      </c>
      <c r="R68" s="6">
        <f t="shared" si="1"/>
        <v>83684</v>
      </c>
      <c r="S68" s="6">
        <f t="shared" si="1"/>
        <v>163151</v>
      </c>
      <c r="T68" s="6">
        <f t="shared" si="1"/>
        <v>41639</v>
      </c>
      <c r="U68" s="6">
        <f t="shared" si="1"/>
        <v>38378</v>
      </c>
      <c r="V68" s="6">
        <f t="shared" si="1"/>
        <v>85296</v>
      </c>
      <c r="W68" s="6">
        <f t="shared" si="1"/>
        <v>97938</v>
      </c>
      <c r="X68" s="6">
        <f t="shared" si="1"/>
        <v>185758</v>
      </c>
      <c r="Y68" s="6">
        <f t="shared" si="1"/>
        <v>28402</v>
      </c>
      <c r="Z68" s="6">
        <f t="shared" si="1"/>
        <v>29999</v>
      </c>
      <c r="AA68" s="6">
        <f t="shared" si="1"/>
        <v>193929</v>
      </c>
      <c r="AB68" s="6">
        <f t="shared" si="1"/>
        <v>30583</v>
      </c>
      <c r="AC68" s="6">
        <f t="shared" si="1"/>
        <v>130052</v>
      </c>
      <c r="AD68" s="6">
        <f t="shared" si="1"/>
        <v>75254</v>
      </c>
      <c r="AE68" s="6">
        <f t="shared" si="1"/>
        <v>43704</v>
      </c>
      <c r="AF68" s="6">
        <f t="shared" si="1"/>
        <v>44512</v>
      </c>
      <c r="AG68" s="6">
        <f t="shared" si="1"/>
        <v>67399</v>
      </c>
      <c r="AH68" s="6">
        <f t="shared" si="1"/>
        <v>28628</v>
      </c>
      <c r="AI68" s="6">
        <f t="shared" si="1"/>
        <v>30578</v>
      </c>
      <c r="AJ68" s="6">
        <f t="shared" si="1"/>
        <v>18177</v>
      </c>
      <c r="AK68" s="6">
        <f t="shared" si="1"/>
        <v>55526</v>
      </c>
      <c r="AL68" s="6">
        <f t="shared" si="1"/>
        <v>34862</v>
      </c>
      <c r="AM68" s="6">
        <f t="shared" si="1"/>
        <v>4564</v>
      </c>
      <c r="AN68" s="6">
        <f t="shared" si="1"/>
        <v>33371</v>
      </c>
      <c r="AO68" s="6">
        <f t="shared" si="1"/>
        <v>4795</v>
      </c>
      <c r="AP68" s="6">
        <f t="shared" si="1"/>
        <v>13682</v>
      </c>
      <c r="AQ68" s="6">
        <f>SUM(AQ3:AQ65)</f>
        <v>6268705.5</v>
      </c>
      <c r="AW68" s="29"/>
    </row>
    <row r="69" spans="1:49" ht="43.2" x14ac:dyDescent="0.3">
      <c r="A69" s="3" t="s">
        <v>28</v>
      </c>
      <c r="B69" s="6">
        <f>(B68/1000)*$AS$3</f>
        <v>612164.9467214999</v>
      </c>
      <c r="C69" s="6">
        <f t="shared" ref="C69:AQ69" si="2">(C68/1000)*$AS$3</f>
        <v>933224.80563000008</v>
      </c>
      <c r="D69" s="6">
        <f t="shared" si="2"/>
        <v>1038079.8013589999</v>
      </c>
      <c r="E69" s="6">
        <f t="shared" si="2"/>
        <v>719264.9595285001</v>
      </c>
      <c r="F69" s="6">
        <f t="shared" si="2"/>
        <v>296537.18259600003</v>
      </c>
      <c r="G69" s="6">
        <f t="shared" si="2"/>
        <v>152422.3741365</v>
      </c>
      <c r="H69" s="6">
        <f t="shared" si="2"/>
        <v>969237.53058600018</v>
      </c>
      <c r="I69" s="6">
        <f t="shared" si="2"/>
        <v>68699.694644999996</v>
      </c>
      <c r="J69" s="6">
        <f t="shared" si="2"/>
        <v>179260.24171500001</v>
      </c>
      <c r="K69" s="6">
        <f t="shared" si="2"/>
        <v>544476.51225000003</v>
      </c>
      <c r="L69" s="6">
        <f t="shared" si="2"/>
        <v>303418.430055</v>
      </c>
      <c r="M69" s="6">
        <f t="shared" si="2"/>
        <v>105056.60728500001</v>
      </c>
      <c r="N69" s="6">
        <f t="shared" si="2"/>
        <v>253759.05328499997</v>
      </c>
      <c r="O69" s="6">
        <f t="shared" si="2"/>
        <v>45056.284200000002</v>
      </c>
      <c r="P69" s="6">
        <f t="shared" si="2"/>
        <v>50458.582800000004</v>
      </c>
      <c r="Q69" s="6">
        <f t="shared" si="2"/>
        <v>279649.70856</v>
      </c>
      <c r="R69" s="6">
        <f t="shared" si="2"/>
        <v>116516.99898</v>
      </c>
      <c r="S69" s="6">
        <f t="shared" si="2"/>
        <v>227162.47909500002</v>
      </c>
      <c r="T69" s="6">
        <f t="shared" si="2"/>
        <v>57975.853455000004</v>
      </c>
      <c r="U69" s="6">
        <f t="shared" si="2"/>
        <v>53435.416409999998</v>
      </c>
      <c r="V69" s="6">
        <f t="shared" si="2"/>
        <v>118761.45912000001</v>
      </c>
      <c r="W69" s="6">
        <f t="shared" si="2"/>
        <v>136363.48461000001</v>
      </c>
      <c r="X69" s="6">
        <f t="shared" si="2"/>
        <v>258639.22251000002</v>
      </c>
      <c r="Y69" s="6">
        <f t="shared" si="2"/>
        <v>39545.382690000006</v>
      </c>
      <c r="Z69" s="6">
        <f t="shared" si="2"/>
        <v>41768.957654999998</v>
      </c>
      <c r="AA69" s="6">
        <f t="shared" si="2"/>
        <v>270016.07350500004</v>
      </c>
      <c r="AB69" s="6">
        <f t="shared" si="2"/>
        <v>42582.087135000002</v>
      </c>
      <c r="AC69" s="6">
        <f t="shared" si="2"/>
        <v>181077.25193999999</v>
      </c>
      <c r="AD69" s="6">
        <f t="shared" si="2"/>
        <v>104779.53063000001</v>
      </c>
      <c r="AE69" s="6">
        <f t="shared" si="2"/>
        <v>60851.045880000005</v>
      </c>
      <c r="AF69" s="6">
        <f t="shared" si="2"/>
        <v>61976.060640000003</v>
      </c>
      <c r="AG69" s="6">
        <f t="shared" si="2"/>
        <v>93842.660655</v>
      </c>
      <c r="AH69" s="6">
        <f t="shared" si="2"/>
        <v>39860.052660000001</v>
      </c>
      <c r="AI69" s="6">
        <f t="shared" si="2"/>
        <v>42575.125410000001</v>
      </c>
      <c r="AJ69" s="6">
        <f>(AJ68/1000)*$AS$3</f>
        <v>25308.655064999999</v>
      </c>
      <c r="AK69" s="6">
        <f>(AK68/1000)*$AS$3</f>
        <v>77311.348470000012</v>
      </c>
      <c r="AL69" s="6">
        <f t="shared" ref="AL69:AP69" si="3">(AL68/1000)*$AS$3</f>
        <v>48539.931390000005</v>
      </c>
      <c r="AM69" s="6">
        <f t="shared" si="3"/>
        <v>6354.6625800000002</v>
      </c>
      <c r="AN69" s="6">
        <f t="shared" si="3"/>
        <v>46463.944995000005</v>
      </c>
      <c r="AO69" s="6">
        <f t="shared" si="3"/>
        <v>6676.2942750000002</v>
      </c>
      <c r="AP69" s="6">
        <f t="shared" si="3"/>
        <v>19050.064290000002</v>
      </c>
      <c r="AQ69" s="6">
        <f>(AQ68/1000)*$AS$3</f>
        <v>8728200.7593975011</v>
      </c>
    </row>
    <row r="71" spans="1:49" x14ac:dyDescent="0.3">
      <c r="A71" s="1" t="s">
        <v>29</v>
      </c>
    </row>
    <row r="72" spans="1:49" x14ac:dyDescent="0.3">
      <c r="AB72" s="37"/>
    </row>
    <row r="73" spans="1:49" x14ac:dyDescent="0.3">
      <c r="F73" s="29"/>
      <c r="G73" s="29"/>
      <c r="H73" s="29"/>
      <c r="I73" s="29"/>
      <c r="J73" s="29"/>
      <c r="K73" s="29"/>
      <c r="N73" s="29"/>
      <c r="P73" s="29"/>
      <c r="Q73" s="29"/>
      <c r="S73" s="29"/>
    </row>
    <row r="74" spans="1:49" x14ac:dyDescent="0.3">
      <c r="C74" s="29"/>
      <c r="D74" s="29"/>
      <c r="E74" s="29"/>
      <c r="F74" s="29"/>
      <c r="G74" s="29"/>
      <c r="H74" s="29"/>
      <c r="I74" s="29"/>
      <c r="J74" s="29"/>
      <c r="K74" s="29"/>
      <c r="L74" s="29"/>
      <c r="N74" s="29"/>
      <c r="O74" s="29"/>
      <c r="P74" s="29"/>
      <c r="Q74" s="29"/>
      <c r="S74" s="29"/>
      <c r="V74" s="29"/>
      <c r="Z74" s="29"/>
      <c r="AA74" s="29"/>
      <c r="AC74" s="29"/>
      <c r="AD74" s="29"/>
    </row>
    <row r="75" spans="1:49" x14ac:dyDescent="0.3">
      <c r="C75" s="29"/>
      <c r="D75" s="29"/>
      <c r="E75" s="29"/>
      <c r="F75" s="29"/>
      <c r="G75" s="29"/>
      <c r="H75" s="29"/>
      <c r="I75" s="29"/>
      <c r="J75" s="29"/>
      <c r="K75" s="29"/>
      <c r="L75" s="29"/>
      <c r="N75" s="29"/>
      <c r="O75" s="29"/>
      <c r="P75" s="29"/>
      <c r="Q75" s="29"/>
      <c r="S75" s="29"/>
      <c r="U75" s="29"/>
      <c r="V75" s="29"/>
      <c r="Y75" s="29"/>
      <c r="Z75" s="29"/>
      <c r="AA75" s="29"/>
      <c r="AC75" s="29"/>
      <c r="AD75" s="29"/>
    </row>
    <row r="76" spans="1:49" x14ac:dyDescent="0.3">
      <c r="C76" s="29"/>
      <c r="D76" s="29"/>
      <c r="E76" s="29"/>
      <c r="F76" s="29"/>
      <c r="G76" s="29"/>
      <c r="H76" s="29"/>
      <c r="I76" s="29"/>
      <c r="J76" s="29"/>
      <c r="K76" s="29"/>
      <c r="L76" s="29"/>
      <c r="N76" s="29"/>
      <c r="O76" s="29"/>
      <c r="P76" s="29"/>
      <c r="Q76" s="29"/>
      <c r="S76" s="29"/>
      <c r="T76" s="29"/>
      <c r="U76" s="29"/>
      <c r="V76" s="29"/>
      <c r="W76" s="29"/>
      <c r="Y76" s="29"/>
      <c r="Z76" s="29"/>
      <c r="AA76" s="29"/>
      <c r="AB76" s="29"/>
      <c r="AC76" s="29"/>
      <c r="AD76" s="29"/>
      <c r="AF76" s="29"/>
    </row>
    <row r="77" spans="1:49" x14ac:dyDescent="0.3">
      <c r="C77" s="29"/>
      <c r="D77" s="29"/>
      <c r="E77" s="29"/>
      <c r="F77" s="29"/>
      <c r="G77" s="29"/>
      <c r="H77" s="29"/>
      <c r="I77" s="29"/>
      <c r="J77" s="29"/>
      <c r="K77" s="29"/>
      <c r="L77" s="29"/>
      <c r="N77" s="29"/>
      <c r="O77" s="29"/>
      <c r="P77" s="29"/>
      <c r="Q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F77" s="29"/>
      <c r="AQ77" s="29"/>
    </row>
    <row r="78" spans="1:49" x14ac:dyDescent="0.3">
      <c r="C78" s="29"/>
      <c r="D78" s="29"/>
      <c r="E78" s="29"/>
      <c r="F78" s="29"/>
      <c r="G78" s="29"/>
      <c r="H78" s="29"/>
      <c r="I78" s="29"/>
      <c r="J78" s="29"/>
      <c r="K78" s="29"/>
      <c r="L78" s="29"/>
      <c r="N78" s="29"/>
      <c r="O78" s="29"/>
      <c r="P78" s="29"/>
      <c r="Q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I78" s="29"/>
      <c r="AQ78" s="29"/>
    </row>
    <row r="79" spans="1:49" x14ac:dyDescent="0.3"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</row>
    <row r="80" spans="1:49" x14ac:dyDescent="0.3"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</row>
    <row r="81" spans="3:44" x14ac:dyDescent="0.3"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</row>
    <row r="82" spans="3:44" x14ac:dyDescent="0.3"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</row>
    <row r="83" spans="3:44" x14ac:dyDescent="0.3"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</row>
    <row r="84" spans="3:44" x14ac:dyDescent="0.3"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</row>
    <row r="85" spans="3:44" x14ac:dyDescent="0.3"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R85" s="29"/>
      <c r="T85" s="29"/>
      <c r="AA85" s="29"/>
      <c r="AB85" s="29"/>
      <c r="AN85" s="29"/>
    </row>
    <row r="86" spans="3:44" x14ac:dyDescent="0.3">
      <c r="AA86" s="29"/>
    </row>
  </sheetData>
  <mergeCells count="1">
    <mergeCell ref="B1:A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5C74-1FDB-416F-AD6B-711FE1370EC5}">
  <dimension ref="A1:AT97"/>
  <sheetViews>
    <sheetView zoomScale="90" zoomScaleNormal="90" workbookViewId="0">
      <pane xSplit="1" ySplit="2" topLeftCell="AJ48" activePane="bottomRight" state="frozen"/>
      <selection pane="topRight" activeCell="B1" sqref="B1"/>
      <selection pane="bottomLeft" activeCell="A3" sqref="A3"/>
      <selection pane="bottomRight" activeCell="AQ66" sqref="AQ66:AQ67"/>
    </sheetView>
  </sheetViews>
  <sheetFormatPr defaultColWidth="8.5546875" defaultRowHeight="14.4" x14ac:dyDescent="0.3"/>
  <cols>
    <col min="1" max="1" width="8.5546875" style="1"/>
    <col min="2" max="3" width="10.88671875" style="1" customWidth="1"/>
    <col min="4" max="4" width="12.44140625" style="1" customWidth="1"/>
    <col min="5" max="7" width="10.88671875" style="1" customWidth="1"/>
    <col min="8" max="8" width="13.44140625" style="1" customWidth="1"/>
    <col min="9" max="17" width="10.109375" style="1" customWidth="1"/>
    <col min="18" max="18" width="11.6640625" style="1" customWidth="1"/>
    <col min="19" max="20" width="10.109375" style="1" customWidth="1"/>
    <col min="21" max="21" width="12.5546875" style="1" customWidth="1"/>
    <col min="22" max="28" width="10.109375" style="1" customWidth="1"/>
    <col min="29" max="42" width="10.5546875" style="1" customWidth="1"/>
    <col min="43" max="43" width="9.44140625" style="1" customWidth="1"/>
    <col min="44" max="16384" width="8.5546875" style="1"/>
  </cols>
  <sheetData>
    <row r="1" spans="1:43" x14ac:dyDescent="0.3">
      <c r="B1" s="38" t="s">
        <v>13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</row>
    <row r="2" spans="1:43" s="2" customFormat="1" ht="44.1" customHeight="1" x14ac:dyDescent="0.3">
      <c r="A2" s="3" t="s">
        <v>7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59</v>
      </c>
      <c r="O2" s="3" t="s">
        <v>39</v>
      </c>
      <c r="P2" s="3" t="s">
        <v>62</v>
      </c>
      <c r="Q2" s="3" t="s">
        <v>40</v>
      </c>
      <c r="R2" s="3" t="s">
        <v>41</v>
      </c>
      <c r="S2" s="3" t="s">
        <v>42</v>
      </c>
      <c r="T2" s="3" t="s">
        <v>61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60</v>
      </c>
      <c r="AC2" s="3" t="s">
        <v>52</v>
      </c>
      <c r="AD2" s="3" t="s">
        <v>53</v>
      </c>
      <c r="AE2" s="3" t="s">
        <v>54</v>
      </c>
      <c r="AF2" s="3" t="s">
        <v>55</v>
      </c>
      <c r="AG2" s="3" t="s">
        <v>56</v>
      </c>
      <c r="AH2" s="3" t="s">
        <v>57</v>
      </c>
      <c r="AI2" s="3" t="s">
        <v>58</v>
      </c>
      <c r="AJ2" s="3" t="s">
        <v>63</v>
      </c>
      <c r="AK2" s="3" t="s">
        <v>65</v>
      </c>
      <c r="AL2" s="3" t="s">
        <v>66</v>
      </c>
      <c r="AM2" s="3" t="s">
        <v>67</v>
      </c>
      <c r="AN2" s="3" t="s">
        <v>68</v>
      </c>
      <c r="AO2" s="3" t="s">
        <v>69</v>
      </c>
      <c r="AP2" s="3" t="s">
        <v>70</v>
      </c>
      <c r="AQ2" s="3" t="s">
        <v>9</v>
      </c>
    </row>
    <row r="3" spans="1:43" x14ac:dyDescent="0.3">
      <c r="A3" s="4">
        <v>44287</v>
      </c>
      <c r="B3" s="8">
        <v>0.14199999999999999</v>
      </c>
      <c r="C3" s="8">
        <v>0.11</v>
      </c>
      <c r="D3" s="8">
        <v>9.6000000000000002E-2</v>
      </c>
      <c r="E3" s="5"/>
      <c r="F3" s="5"/>
      <c r="G3" s="5"/>
      <c r="H3" s="5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11">
        <f>AVERAGE(B3:AP3)</f>
        <v>0.11599999999999999</v>
      </c>
    </row>
    <row r="4" spans="1:43" x14ac:dyDescent="0.3">
      <c r="A4" s="4">
        <v>44317</v>
      </c>
      <c r="B4" s="8">
        <v>0.14199999999999999</v>
      </c>
      <c r="C4" s="8">
        <v>0.105</v>
      </c>
      <c r="D4" s="8">
        <v>9.8000000000000004E-2</v>
      </c>
      <c r="E4" s="5"/>
      <c r="F4" s="5"/>
      <c r="G4" s="5"/>
      <c r="H4" s="5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11">
        <f t="shared" ref="AQ4:AQ67" si="0">AVERAGE(B4:AP4)</f>
        <v>0.11499999999999999</v>
      </c>
    </row>
    <row r="5" spans="1:43" x14ac:dyDescent="0.3">
      <c r="A5" s="4">
        <v>44348</v>
      </c>
      <c r="B5" s="8">
        <v>0.182</v>
      </c>
      <c r="C5" s="8">
        <v>0.1</v>
      </c>
      <c r="D5" s="8">
        <v>0.13</v>
      </c>
      <c r="E5" s="5"/>
      <c r="F5" s="5"/>
      <c r="G5" s="5"/>
      <c r="H5" s="5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11">
        <f t="shared" si="0"/>
        <v>0.13733333333333334</v>
      </c>
    </row>
    <row r="6" spans="1:43" x14ac:dyDescent="0.3">
      <c r="A6" s="4">
        <v>44378</v>
      </c>
      <c r="B6" s="8">
        <v>0.13400000000000001</v>
      </c>
      <c r="C6" s="8">
        <v>0.105</v>
      </c>
      <c r="D6" s="8">
        <v>0.11899999999999999</v>
      </c>
      <c r="E6" s="5"/>
      <c r="F6" s="5"/>
      <c r="G6" s="5"/>
      <c r="H6" s="5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11">
        <f t="shared" si="0"/>
        <v>0.11933333333333333</v>
      </c>
    </row>
    <row r="7" spans="1:43" x14ac:dyDescent="0.3">
      <c r="A7" s="4">
        <v>44409</v>
      </c>
      <c r="B7" s="8">
        <v>0.16800000000000001</v>
      </c>
      <c r="C7" s="8">
        <v>9.6000000000000002E-2</v>
      </c>
      <c r="D7" s="8">
        <v>0.13300000000000001</v>
      </c>
      <c r="E7" s="5"/>
      <c r="F7" s="5"/>
      <c r="G7" s="5"/>
      <c r="H7" s="5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11">
        <f t="shared" si="0"/>
        <v>0.13233333333333333</v>
      </c>
    </row>
    <row r="8" spans="1:43" x14ac:dyDescent="0.3">
      <c r="A8" s="4">
        <v>44440</v>
      </c>
      <c r="B8" s="8">
        <v>0.16900000000000001</v>
      </c>
      <c r="C8" s="8">
        <v>8.3000000000000004E-2</v>
      </c>
      <c r="D8" s="8">
        <v>0.129</v>
      </c>
      <c r="E8" s="5"/>
      <c r="F8" s="5"/>
      <c r="G8" s="5"/>
      <c r="H8" s="5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11">
        <f t="shared" si="0"/>
        <v>0.127</v>
      </c>
    </row>
    <row r="9" spans="1:43" x14ac:dyDescent="0.3">
      <c r="A9" s="4">
        <v>44470</v>
      </c>
      <c r="B9" s="8">
        <v>9.7000000000000003E-2</v>
      </c>
      <c r="C9" s="8">
        <v>0.112</v>
      </c>
      <c r="D9" s="8">
        <v>8.7999999999999995E-2</v>
      </c>
      <c r="E9" s="8">
        <v>0.10199999999999999</v>
      </c>
      <c r="F9" s="5"/>
      <c r="G9" s="5"/>
      <c r="H9" s="5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11">
        <f t="shared" si="0"/>
        <v>9.9750000000000005E-2</v>
      </c>
    </row>
    <row r="10" spans="1:43" x14ac:dyDescent="0.3">
      <c r="A10" s="4">
        <v>44501</v>
      </c>
      <c r="B10" s="8">
        <v>0.09</v>
      </c>
      <c r="C10" s="8">
        <v>9.9000000000000005E-2</v>
      </c>
      <c r="D10" s="8">
        <v>8.7999999999999995E-2</v>
      </c>
      <c r="E10" s="8">
        <v>0.10199999999999999</v>
      </c>
      <c r="F10" s="5"/>
      <c r="G10" s="5"/>
      <c r="H10" s="5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11">
        <f t="shared" si="0"/>
        <v>9.4750000000000001E-2</v>
      </c>
    </row>
    <row r="11" spans="1:43" x14ac:dyDescent="0.3">
      <c r="A11" s="4">
        <v>44531</v>
      </c>
      <c r="B11" s="8">
        <v>9.4E-2</v>
      </c>
      <c r="C11" s="8">
        <v>9.5000000000000001E-2</v>
      </c>
      <c r="D11" s="8">
        <v>8.6999999999999994E-2</v>
      </c>
      <c r="E11" s="8">
        <v>0.108</v>
      </c>
      <c r="F11" s="8">
        <v>0.157</v>
      </c>
      <c r="G11" s="8">
        <v>0.16800000000000001</v>
      </c>
      <c r="H11" s="5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11">
        <f t="shared" si="0"/>
        <v>0.11816666666666668</v>
      </c>
    </row>
    <row r="12" spans="1:43" x14ac:dyDescent="0.3">
      <c r="A12" s="4">
        <v>44562</v>
      </c>
      <c r="B12" s="8">
        <v>0.114</v>
      </c>
      <c r="C12" s="8">
        <v>9.6000000000000002E-2</v>
      </c>
      <c r="D12" s="8">
        <v>8.7999999999999995E-2</v>
      </c>
      <c r="E12" s="8">
        <v>0.152</v>
      </c>
      <c r="F12" s="8">
        <v>0.161</v>
      </c>
      <c r="G12" s="8">
        <v>0.10299999999999999</v>
      </c>
      <c r="H12" s="5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11">
        <f t="shared" si="0"/>
        <v>0.11900000000000001</v>
      </c>
    </row>
    <row r="13" spans="1:43" x14ac:dyDescent="0.3">
      <c r="A13" s="4">
        <v>44593</v>
      </c>
      <c r="B13" s="8">
        <v>0.114</v>
      </c>
      <c r="C13" s="8">
        <v>0.107</v>
      </c>
      <c r="D13" s="8">
        <v>8.7999999999999995E-2</v>
      </c>
      <c r="E13" s="8">
        <v>0.152</v>
      </c>
      <c r="F13" s="8">
        <v>0.156</v>
      </c>
      <c r="G13" s="8">
        <v>0.158</v>
      </c>
      <c r="H13" s="5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11">
        <f t="shared" si="0"/>
        <v>0.12916666666666668</v>
      </c>
    </row>
    <row r="14" spans="1:43" x14ac:dyDescent="0.3">
      <c r="A14" s="4">
        <v>44621</v>
      </c>
      <c r="B14" s="8">
        <v>0.122</v>
      </c>
      <c r="C14" s="8">
        <v>0.112</v>
      </c>
      <c r="D14" s="8">
        <v>8.7999999999999995E-2</v>
      </c>
      <c r="E14" s="8">
        <v>9.2999999999999999E-2</v>
      </c>
      <c r="F14" s="8">
        <v>0.16800000000000001</v>
      </c>
      <c r="G14" s="8">
        <v>0.10199999999999999</v>
      </c>
      <c r="H14" s="8">
        <v>0.14199999999999999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11">
        <f t="shared" si="0"/>
        <v>0.11814285714285713</v>
      </c>
    </row>
    <row r="15" spans="1:43" x14ac:dyDescent="0.3">
      <c r="A15" s="4">
        <v>44652</v>
      </c>
      <c r="B15" s="9">
        <v>0.122</v>
      </c>
      <c r="C15" s="5">
        <v>9.8000000000000004E-2</v>
      </c>
      <c r="D15" s="8">
        <v>8.7999999999999995E-2</v>
      </c>
      <c r="E15" s="8">
        <v>0.09</v>
      </c>
      <c r="F15" s="8">
        <v>0.17299999999999999</v>
      </c>
      <c r="G15" s="8">
        <v>0.10299999999999999</v>
      </c>
      <c r="H15" s="11">
        <v>0.15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11">
        <f t="shared" si="0"/>
        <v>0.1177142857142857</v>
      </c>
    </row>
    <row r="16" spans="1:43" x14ac:dyDescent="0.3">
      <c r="A16" s="4">
        <v>44682</v>
      </c>
      <c r="B16" s="10">
        <v>0.1</v>
      </c>
      <c r="C16" s="8">
        <v>0.109</v>
      </c>
      <c r="D16" s="5">
        <v>8.7999999999999995E-2</v>
      </c>
      <c r="E16" s="5">
        <v>8.7999999999999995E-2</v>
      </c>
      <c r="F16" s="5">
        <v>0.17599999999999999</v>
      </c>
      <c r="G16" s="5">
        <v>8.8999999999999996E-2</v>
      </c>
      <c r="H16" s="5">
        <v>0.152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11">
        <f t="shared" si="0"/>
        <v>0.11457142857142856</v>
      </c>
    </row>
    <row r="17" spans="1:43" x14ac:dyDescent="0.3">
      <c r="A17" s="4">
        <v>44713</v>
      </c>
      <c r="B17" s="10">
        <v>0.22900000000000001</v>
      </c>
      <c r="C17" s="5">
        <v>0.104</v>
      </c>
      <c r="D17" s="5">
        <v>0.13600000000000001</v>
      </c>
      <c r="E17" s="5">
        <v>0.16800000000000001</v>
      </c>
      <c r="F17" s="5">
        <v>0.16400000000000001</v>
      </c>
      <c r="G17" s="5">
        <v>0.16300000000000001</v>
      </c>
      <c r="H17" s="5">
        <v>0.14599999999999999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11">
        <f t="shared" si="0"/>
        <v>0.15857142857142859</v>
      </c>
    </row>
    <row r="18" spans="1:43" x14ac:dyDescent="0.3">
      <c r="A18" s="4">
        <v>44743</v>
      </c>
      <c r="B18" s="10">
        <v>0.185</v>
      </c>
      <c r="C18" s="5">
        <v>9.4E-2</v>
      </c>
      <c r="D18" s="5">
        <v>0.126</v>
      </c>
      <c r="E18" s="5">
        <v>0.151</v>
      </c>
      <c r="F18" s="5">
        <v>0.161</v>
      </c>
      <c r="G18" s="5">
        <v>0.158</v>
      </c>
      <c r="H18" s="5">
        <v>0.14499999999999999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11">
        <f t="shared" si="0"/>
        <v>0.14571428571428571</v>
      </c>
    </row>
    <row r="19" spans="1:43" x14ac:dyDescent="0.3">
      <c r="A19" s="4">
        <v>44774</v>
      </c>
      <c r="B19" s="10">
        <v>0.16700000000000001</v>
      </c>
      <c r="C19" s="5">
        <v>0.10299999999999999</v>
      </c>
      <c r="D19" s="5">
        <v>0.13700000000000001</v>
      </c>
      <c r="E19" s="5">
        <v>0.14499999999999999</v>
      </c>
      <c r="F19" s="5">
        <v>0.16400000000000001</v>
      </c>
      <c r="G19" s="5">
        <v>0.16200000000000001</v>
      </c>
      <c r="H19" s="5">
        <v>0.14299999999999999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11">
        <f t="shared" si="0"/>
        <v>0.14585714285714288</v>
      </c>
    </row>
    <row r="20" spans="1:43" x14ac:dyDescent="0.3">
      <c r="A20" s="4">
        <v>44805</v>
      </c>
      <c r="B20" s="10">
        <v>0.17799999999999999</v>
      </c>
      <c r="C20" s="5">
        <v>0.112</v>
      </c>
      <c r="D20" s="5">
        <v>0.13800000000000001</v>
      </c>
      <c r="E20" s="5">
        <v>0.14299999999999999</v>
      </c>
      <c r="F20" s="5">
        <v>0.16500000000000001</v>
      </c>
      <c r="G20" s="5">
        <v>0.16700000000000001</v>
      </c>
      <c r="H20" s="5">
        <v>0.14399999999999999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11">
        <f t="shared" si="0"/>
        <v>0.14957142857142855</v>
      </c>
    </row>
    <row r="21" spans="1:43" x14ac:dyDescent="0.3">
      <c r="A21" s="4">
        <v>44835</v>
      </c>
      <c r="B21" s="10">
        <v>0.108</v>
      </c>
      <c r="C21" s="5">
        <v>0.114</v>
      </c>
      <c r="D21" s="5">
        <v>8.7999999999999995E-2</v>
      </c>
      <c r="E21" s="5">
        <v>8.8999999999999996E-2</v>
      </c>
      <c r="F21" s="5">
        <v>0.16900000000000001</v>
      </c>
      <c r="G21" s="5">
        <v>9.9000000000000005E-2</v>
      </c>
      <c r="H21" s="5">
        <v>0.152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11">
        <f t="shared" si="0"/>
        <v>0.11700000000000001</v>
      </c>
    </row>
    <row r="22" spans="1:43" x14ac:dyDescent="0.3">
      <c r="A22" s="4">
        <v>44866</v>
      </c>
      <c r="B22" s="10">
        <v>0.10299999999999999</v>
      </c>
      <c r="C22" s="5">
        <v>0.11799999999999999</v>
      </c>
      <c r="D22" s="5">
        <v>8.6999999999999994E-2</v>
      </c>
      <c r="E22" s="5">
        <v>0.09</v>
      </c>
      <c r="F22" s="5">
        <v>0.16600000000000001</v>
      </c>
      <c r="G22" s="5">
        <v>9.7000000000000003E-2</v>
      </c>
      <c r="H22" s="5">
        <v>0.155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11">
        <f t="shared" si="0"/>
        <v>0.11657142857142856</v>
      </c>
    </row>
    <row r="23" spans="1:43" x14ac:dyDescent="0.3">
      <c r="A23" s="4">
        <v>44896</v>
      </c>
      <c r="B23" s="10">
        <v>0.1</v>
      </c>
      <c r="C23" s="5">
        <v>0.122</v>
      </c>
      <c r="D23" s="5">
        <v>8.6999999999999994E-2</v>
      </c>
      <c r="E23" s="5">
        <v>9.6000000000000002E-2</v>
      </c>
      <c r="F23" s="5">
        <v>0.156</v>
      </c>
      <c r="G23" s="5">
        <v>9.8000000000000004E-2</v>
      </c>
      <c r="H23" s="5">
        <v>0.14099999999999999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11">
        <f t="shared" si="0"/>
        <v>0.1142857142857143</v>
      </c>
    </row>
    <row r="24" spans="1:43" x14ac:dyDescent="0.3">
      <c r="A24" s="4">
        <v>44927</v>
      </c>
      <c r="B24" s="10">
        <v>0.10299999999999999</v>
      </c>
      <c r="C24" s="5">
        <v>0.13600000000000001</v>
      </c>
      <c r="D24" s="5">
        <v>8.5999999999999993E-2</v>
      </c>
      <c r="E24" s="5">
        <v>9.5000000000000001E-2</v>
      </c>
      <c r="F24" s="5">
        <v>0.16500000000000001</v>
      </c>
      <c r="G24" s="5">
        <v>0.1</v>
      </c>
      <c r="H24" s="5">
        <v>0.14299999999999999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11">
        <f t="shared" si="0"/>
        <v>0.11828571428571429</v>
      </c>
    </row>
    <row r="25" spans="1:43" x14ac:dyDescent="0.3">
      <c r="A25" s="4">
        <v>44958</v>
      </c>
      <c r="B25" s="10">
        <v>0.109</v>
      </c>
      <c r="C25" s="5">
        <v>0.14599999999999999</v>
      </c>
      <c r="D25" s="5">
        <v>9.2999999999999999E-2</v>
      </c>
      <c r="E25" s="5">
        <v>9.0999999999999998E-2</v>
      </c>
      <c r="F25" s="5">
        <v>0.17399999999999999</v>
      </c>
      <c r="G25" s="5">
        <v>0.10100000000000001</v>
      </c>
      <c r="H25" s="5">
        <v>0.14099999999999999</v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11">
        <f t="shared" si="0"/>
        <v>0.12214285714285714</v>
      </c>
    </row>
    <row r="26" spans="1:43" x14ac:dyDescent="0.3">
      <c r="A26" s="4">
        <v>44986</v>
      </c>
      <c r="B26" s="10">
        <v>0.10199999999999999</v>
      </c>
      <c r="C26" s="5">
        <v>0.13500000000000001</v>
      </c>
      <c r="D26" s="5">
        <v>9.2999999999999999E-2</v>
      </c>
      <c r="E26" s="5">
        <v>0.09</v>
      </c>
      <c r="F26" s="5">
        <v>0.17399999999999999</v>
      </c>
      <c r="G26" s="5">
        <v>0.10100000000000001</v>
      </c>
      <c r="H26" s="5">
        <v>0.13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11">
        <f t="shared" si="0"/>
        <v>0.11785714285714284</v>
      </c>
    </row>
    <row r="27" spans="1:43" x14ac:dyDescent="0.3">
      <c r="A27" s="4">
        <v>45017</v>
      </c>
      <c r="B27" s="10">
        <v>0.107</v>
      </c>
      <c r="C27" s="5">
        <v>0.111</v>
      </c>
      <c r="D27" s="5">
        <v>9.9000000000000005E-2</v>
      </c>
      <c r="E27" s="5">
        <v>8.6999999999999994E-2</v>
      </c>
      <c r="F27" s="5">
        <v>0.16900000000000001</v>
      </c>
      <c r="G27" s="5">
        <v>0.10299999999999999</v>
      </c>
      <c r="H27" s="5">
        <v>0.13500000000000001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11">
        <f t="shared" si="0"/>
        <v>0.11585714285714287</v>
      </c>
    </row>
    <row r="28" spans="1:43" x14ac:dyDescent="0.3">
      <c r="A28" s="4">
        <v>45047</v>
      </c>
      <c r="B28" s="10">
        <v>0.105</v>
      </c>
      <c r="C28" s="5">
        <v>0.10299999999999999</v>
      </c>
      <c r="D28" s="5">
        <v>9.2999999999999999E-2</v>
      </c>
      <c r="E28" s="5">
        <v>8.5999999999999993E-2</v>
      </c>
      <c r="F28" s="5">
        <v>0.16600000000000001</v>
      </c>
      <c r="G28" s="5">
        <v>0.1</v>
      </c>
      <c r="H28" s="5">
        <v>0.13700000000000001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11">
        <f t="shared" si="0"/>
        <v>0.11285714285714286</v>
      </c>
    </row>
    <row r="29" spans="1:43" x14ac:dyDescent="0.3">
      <c r="A29" s="4">
        <v>45078</v>
      </c>
      <c r="B29" s="10">
        <v>0.18099999999999999</v>
      </c>
      <c r="C29" s="5">
        <v>0.105</v>
      </c>
      <c r="D29" s="5">
        <v>0.15</v>
      </c>
      <c r="E29" s="5">
        <v>0.14000000000000001</v>
      </c>
      <c r="F29" s="5">
        <v>0.156</v>
      </c>
      <c r="G29" s="5">
        <v>0.16600000000000001</v>
      </c>
      <c r="H29" s="5">
        <v>0.13200000000000001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11">
        <f t="shared" si="0"/>
        <v>0.14714285714285716</v>
      </c>
    </row>
    <row r="30" spans="1:43" x14ac:dyDescent="0.3">
      <c r="A30" s="4">
        <v>45108</v>
      </c>
      <c r="B30" s="10">
        <v>0.17499999999999999</v>
      </c>
      <c r="C30" s="5">
        <v>0.105</v>
      </c>
      <c r="D30" s="5">
        <v>0.16</v>
      </c>
      <c r="E30" s="5">
        <v>0.16</v>
      </c>
      <c r="F30" s="5">
        <v>0.191</v>
      </c>
      <c r="G30" s="5">
        <v>0.186</v>
      </c>
      <c r="H30" s="5">
        <v>0.13600000000000001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11">
        <f t="shared" si="0"/>
        <v>0.159</v>
      </c>
    </row>
    <row r="31" spans="1:43" x14ac:dyDescent="0.3">
      <c r="A31" s="4">
        <v>45139</v>
      </c>
      <c r="B31" s="10">
        <v>0.189</v>
      </c>
      <c r="C31" s="5">
        <v>0.10199999999999999</v>
      </c>
      <c r="D31" s="5">
        <v>0.16</v>
      </c>
      <c r="E31" s="5">
        <v>0.17899999999999999</v>
      </c>
      <c r="F31" s="5">
        <v>0.20300000000000001</v>
      </c>
      <c r="G31" s="5">
        <v>0.19500000000000001</v>
      </c>
      <c r="H31" s="5">
        <v>0.129</v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11">
        <f t="shared" si="0"/>
        <v>0.16528571428571429</v>
      </c>
    </row>
    <row r="32" spans="1:43" x14ac:dyDescent="0.3">
      <c r="A32" s="4">
        <v>45170</v>
      </c>
      <c r="B32" s="10">
        <v>0.19600000000000001</v>
      </c>
      <c r="C32" s="5">
        <v>0.108</v>
      </c>
      <c r="D32" s="5">
        <v>0.155</v>
      </c>
      <c r="E32" s="5">
        <v>0.186</v>
      </c>
      <c r="F32" s="5">
        <v>0.20100000000000001</v>
      </c>
      <c r="G32" s="5">
        <v>0.19800000000000001</v>
      </c>
      <c r="H32" s="5">
        <v>0.13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11">
        <f t="shared" si="0"/>
        <v>0.1677142857142857</v>
      </c>
    </row>
    <row r="33" spans="1:43" x14ac:dyDescent="0.3">
      <c r="A33" s="4">
        <v>45200</v>
      </c>
      <c r="B33" s="10">
        <v>0.11899999999999999</v>
      </c>
      <c r="C33" s="5">
        <v>0.10299999999999999</v>
      </c>
      <c r="D33" s="5">
        <v>0.10299999999999999</v>
      </c>
      <c r="E33" s="5">
        <v>0.115</v>
      </c>
      <c r="F33" s="5">
        <v>0.2</v>
      </c>
      <c r="G33" s="5">
        <v>0.11600000000000001</v>
      </c>
      <c r="H33" s="5">
        <v>0.13600000000000001</v>
      </c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11">
        <f t="shared" si="0"/>
        <v>0.12742857142857142</v>
      </c>
    </row>
    <row r="34" spans="1:43" x14ac:dyDescent="0.3">
      <c r="A34" s="4">
        <v>45231</v>
      </c>
      <c r="B34" s="10">
        <v>0.114</v>
      </c>
      <c r="C34" s="5">
        <v>9.8000000000000004E-2</v>
      </c>
      <c r="D34" s="5">
        <v>0.105</v>
      </c>
      <c r="E34" s="5">
        <v>0.122</v>
      </c>
      <c r="F34" s="5">
        <v>0.2</v>
      </c>
      <c r="G34" s="5">
        <v>0.114</v>
      </c>
      <c r="H34" s="11">
        <v>0.13</v>
      </c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11">
        <f t="shared" si="0"/>
        <v>0.12614285714285714</v>
      </c>
    </row>
    <row r="35" spans="1:43" x14ac:dyDescent="0.3">
      <c r="A35" s="4">
        <v>45261</v>
      </c>
      <c r="B35" s="10">
        <v>0.106</v>
      </c>
      <c r="C35" s="5">
        <v>0.10100000000000001</v>
      </c>
      <c r="D35" s="5">
        <v>0.108</v>
      </c>
      <c r="E35" s="5">
        <v>0.123</v>
      </c>
      <c r="F35" s="5">
        <v>0.19</v>
      </c>
      <c r="G35" s="5">
        <v>0.11799999999999999</v>
      </c>
      <c r="H35" s="5">
        <v>0.123</v>
      </c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11">
        <f t="shared" si="0"/>
        <v>0.12414285714285714</v>
      </c>
    </row>
    <row r="36" spans="1:43" x14ac:dyDescent="0.3">
      <c r="A36" s="4">
        <v>45292</v>
      </c>
      <c r="B36" s="10">
        <v>0.10199999999999999</v>
      </c>
      <c r="C36" s="5">
        <v>0.10199999999999999</v>
      </c>
      <c r="D36" s="5">
        <v>0.112</v>
      </c>
      <c r="E36" s="5">
        <v>0.113</v>
      </c>
      <c r="F36" s="5">
        <v>0.155</v>
      </c>
      <c r="G36" s="5">
        <v>0.11700000000000001</v>
      </c>
      <c r="H36" s="5">
        <v>0.13200000000000001</v>
      </c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11">
        <f t="shared" si="0"/>
        <v>0.11899999999999999</v>
      </c>
    </row>
    <row r="37" spans="1:43" x14ac:dyDescent="0.3">
      <c r="A37" s="4">
        <v>45323</v>
      </c>
      <c r="B37" s="11">
        <v>0.105</v>
      </c>
      <c r="C37" s="5">
        <v>0.10299999999999999</v>
      </c>
      <c r="D37" s="5">
        <v>0.11</v>
      </c>
      <c r="E37" s="5">
        <v>0.115</v>
      </c>
      <c r="F37" s="5">
        <v>0.192</v>
      </c>
      <c r="G37" s="5">
        <v>0.126</v>
      </c>
      <c r="H37" s="5">
        <v>0.13200000000000001</v>
      </c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11">
        <f t="shared" si="0"/>
        <v>0.12614285714285714</v>
      </c>
    </row>
    <row r="38" spans="1:43" x14ac:dyDescent="0.3">
      <c r="A38" s="4">
        <v>45352</v>
      </c>
      <c r="B38" s="11">
        <v>0.11</v>
      </c>
      <c r="C38" s="5">
        <v>0.114</v>
      </c>
      <c r="D38" s="5">
        <v>0.106</v>
      </c>
      <c r="E38" s="5">
        <v>0.11700000000000001</v>
      </c>
      <c r="F38" s="5">
        <v>0.19500000000000001</v>
      </c>
      <c r="G38" s="5">
        <v>0.126</v>
      </c>
      <c r="H38" s="5">
        <v>0.13600000000000001</v>
      </c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11">
        <f t="shared" si="0"/>
        <v>0.12914285714285714</v>
      </c>
    </row>
    <row r="39" spans="1:43" x14ac:dyDescent="0.3">
      <c r="A39" s="4">
        <v>45383</v>
      </c>
      <c r="B39" s="11">
        <v>0.11899999999999999</v>
      </c>
      <c r="C39" s="5">
        <v>0.111</v>
      </c>
      <c r="D39" s="5">
        <v>0.105</v>
      </c>
      <c r="E39" s="5">
        <v>0.114</v>
      </c>
      <c r="F39" s="5">
        <v>0.2</v>
      </c>
      <c r="G39" s="5">
        <v>0.123</v>
      </c>
      <c r="H39" s="5">
        <v>0.13600000000000001</v>
      </c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11">
        <f t="shared" si="0"/>
        <v>0.12971428571428573</v>
      </c>
    </row>
    <row r="40" spans="1:43" x14ac:dyDescent="0.3">
      <c r="A40" s="4">
        <v>45413</v>
      </c>
      <c r="B40" s="11">
        <v>0.11799999999999999</v>
      </c>
      <c r="C40" s="5">
        <v>0.115</v>
      </c>
      <c r="D40" s="5">
        <v>0.108</v>
      </c>
      <c r="E40" s="5">
        <v>0.127</v>
      </c>
      <c r="F40" s="5">
        <v>0.20899999999999999</v>
      </c>
      <c r="G40" s="5">
        <v>0.115</v>
      </c>
      <c r="H40" s="5">
        <v>0.14000000000000001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11">
        <f t="shared" si="0"/>
        <v>0.13314285714285715</v>
      </c>
    </row>
    <row r="41" spans="1:43" x14ac:dyDescent="0.3">
      <c r="A41" s="4">
        <v>45444</v>
      </c>
      <c r="B41" s="11">
        <v>0.20699999999999999</v>
      </c>
      <c r="C41" s="5">
        <v>0.113</v>
      </c>
      <c r="D41" s="5">
        <v>0.161</v>
      </c>
      <c r="E41" s="5">
        <v>0.21</v>
      </c>
      <c r="F41" s="5">
        <v>0.215</v>
      </c>
      <c r="G41" s="5">
        <v>0.21099999999999999</v>
      </c>
      <c r="H41" s="5">
        <v>0.13900000000000001</v>
      </c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11">
        <f t="shared" si="0"/>
        <v>0.17942857142857144</v>
      </c>
    </row>
    <row r="42" spans="1:43" x14ac:dyDescent="0.3">
      <c r="A42" s="4">
        <v>45474</v>
      </c>
      <c r="B42" s="11">
        <v>0.19400000000000001</v>
      </c>
      <c r="C42" s="5">
        <v>0.108</v>
      </c>
      <c r="D42" s="5">
        <v>0.17399999999999999</v>
      </c>
      <c r="E42" s="5">
        <v>0.21</v>
      </c>
      <c r="F42" s="5">
        <v>0.20899999999999999</v>
      </c>
      <c r="G42" s="5">
        <v>0.21299999999999999</v>
      </c>
      <c r="H42" s="5">
        <v>0.13500000000000001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11">
        <f t="shared" si="0"/>
        <v>0.17757142857142855</v>
      </c>
    </row>
    <row r="43" spans="1:43" x14ac:dyDescent="0.3">
      <c r="A43" s="4">
        <v>45505</v>
      </c>
      <c r="B43" s="11">
        <v>0.20399999999999999</v>
      </c>
      <c r="C43" s="5">
        <v>0.109</v>
      </c>
      <c r="D43" s="5">
        <v>0.17199999999999999</v>
      </c>
      <c r="E43" s="5">
        <v>0.20499999999999999</v>
      </c>
      <c r="F43" s="5">
        <v>0.21299999999999999</v>
      </c>
      <c r="G43" s="5">
        <v>0.217</v>
      </c>
      <c r="H43" s="5">
        <v>0.13300000000000001</v>
      </c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11">
        <f t="shared" si="0"/>
        <v>0.17899999999999999</v>
      </c>
    </row>
    <row r="44" spans="1:43" x14ac:dyDescent="0.3">
      <c r="A44" s="4">
        <v>45536</v>
      </c>
      <c r="B44" s="11">
        <v>0.2</v>
      </c>
      <c r="C44" s="5">
        <v>0.109</v>
      </c>
      <c r="D44" s="5">
        <v>0.16500000000000001</v>
      </c>
      <c r="E44" s="5">
        <v>0.19</v>
      </c>
      <c r="F44" s="5">
        <v>0.214</v>
      </c>
      <c r="G44" s="5">
        <v>0.218</v>
      </c>
      <c r="H44" s="5">
        <v>0.13300000000000001</v>
      </c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11">
        <f t="shared" si="0"/>
        <v>0.17557142857142854</v>
      </c>
    </row>
    <row r="45" spans="1:43" x14ac:dyDescent="0.3">
      <c r="A45" s="4">
        <v>45566</v>
      </c>
      <c r="B45" s="11">
        <v>0.11799999999999999</v>
      </c>
      <c r="C45" s="5">
        <v>0.10100000000000001</v>
      </c>
      <c r="D45" s="5">
        <v>0.111</v>
      </c>
      <c r="E45" s="5">
        <v>0.127</v>
      </c>
      <c r="F45" s="5">
        <v>0.217</v>
      </c>
      <c r="G45" s="5">
        <v>0.13900000000000001</v>
      </c>
      <c r="H45" s="5">
        <v>0.13100000000000001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11">
        <f t="shared" si="0"/>
        <v>0.13485714285714287</v>
      </c>
    </row>
    <row r="46" spans="1:43" x14ac:dyDescent="0.3">
      <c r="A46" s="4">
        <v>45597</v>
      </c>
      <c r="B46" s="11">
        <v>0.11600000000000001</v>
      </c>
      <c r="C46" s="5">
        <v>9.9000000000000005E-2</v>
      </c>
      <c r="D46" s="5">
        <v>0.111</v>
      </c>
      <c r="E46" s="5">
        <v>0.13200000000000001</v>
      </c>
      <c r="F46" s="5">
        <v>0.216</v>
      </c>
      <c r="G46" s="5">
        <v>0.13300000000000001</v>
      </c>
      <c r="H46" s="5">
        <v>0.126</v>
      </c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11">
        <f t="shared" si="0"/>
        <v>0.13328571428571429</v>
      </c>
    </row>
    <row r="47" spans="1:43" x14ac:dyDescent="0.3">
      <c r="A47" s="4">
        <v>45627</v>
      </c>
      <c r="B47" s="11">
        <v>0.11</v>
      </c>
      <c r="C47" s="5">
        <v>0.10100000000000001</v>
      </c>
      <c r="D47" s="5">
        <v>0.11799999999999999</v>
      </c>
      <c r="E47" s="5">
        <v>0.11799999999999999</v>
      </c>
      <c r="F47" s="5">
        <v>0.186</v>
      </c>
      <c r="G47" s="5">
        <v>0.14899999999999999</v>
      </c>
      <c r="H47" s="5">
        <v>0.13100000000000001</v>
      </c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11">
        <f t="shared" si="0"/>
        <v>0.13042857142857142</v>
      </c>
    </row>
    <row r="48" spans="1:43" x14ac:dyDescent="0.3">
      <c r="A48" s="4">
        <v>45658</v>
      </c>
      <c r="B48" s="11">
        <v>0.11</v>
      </c>
      <c r="C48" s="11">
        <v>0.1</v>
      </c>
      <c r="D48" s="5">
        <v>0.11899999999999999</v>
      </c>
      <c r="E48" s="5">
        <v>0.122</v>
      </c>
      <c r="F48" s="5">
        <v>0.16200000000000001</v>
      </c>
      <c r="G48" s="5">
        <v>0.14299999999999999</v>
      </c>
      <c r="H48" s="5">
        <v>0.14000000000000001</v>
      </c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11">
        <f t="shared" si="0"/>
        <v>0.128</v>
      </c>
    </row>
    <row r="49" spans="1:43" x14ac:dyDescent="0.3">
      <c r="A49" s="4">
        <v>45689</v>
      </c>
      <c r="B49" s="11">
        <v>0.126</v>
      </c>
      <c r="C49" s="5">
        <v>0.106</v>
      </c>
      <c r="D49" s="5">
        <v>0.11799999999999999</v>
      </c>
      <c r="E49" s="5">
        <v>0.129</v>
      </c>
      <c r="F49" s="5">
        <v>0.21099999999999999</v>
      </c>
      <c r="G49" s="5">
        <v>0.14599999999999999</v>
      </c>
      <c r="H49" s="5">
        <v>0.13700000000000001</v>
      </c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11">
        <f t="shared" si="0"/>
        <v>0.13899999999999998</v>
      </c>
    </row>
    <row r="50" spans="1:43" x14ac:dyDescent="0.3">
      <c r="A50" s="4">
        <v>45717</v>
      </c>
      <c r="B50" s="11">
        <v>0.13</v>
      </c>
      <c r="C50" s="5">
        <v>0.109</v>
      </c>
      <c r="D50" s="5">
        <v>0.114</v>
      </c>
      <c r="E50" s="5">
        <v>0.13100000000000001</v>
      </c>
      <c r="F50" s="5">
        <v>0.216</v>
      </c>
      <c r="G50" s="5">
        <v>0.14399999999999999</v>
      </c>
      <c r="H50" s="5">
        <v>0.14199999999999999</v>
      </c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11">
        <f t="shared" si="0"/>
        <v>0.14085714285714285</v>
      </c>
    </row>
    <row r="51" spans="1:43" x14ac:dyDescent="0.3">
      <c r="A51" s="4">
        <v>45748</v>
      </c>
      <c r="B51" s="11">
        <v>0.128</v>
      </c>
      <c r="C51" s="5">
        <v>0.10199999999999999</v>
      </c>
      <c r="D51" s="5">
        <v>0.115</v>
      </c>
      <c r="E51" s="5">
        <v>0.14099999999999999</v>
      </c>
      <c r="F51" s="5">
        <v>0.224</v>
      </c>
      <c r="G51" s="5">
        <v>0.13500000000000001</v>
      </c>
      <c r="H51" s="5">
        <v>0.13600000000000001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11">
        <f t="shared" si="0"/>
        <v>0.14014285714285715</v>
      </c>
    </row>
    <row r="52" spans="1:43" x14ac:dyDescent="0.3">
      <c r="A52" s="4">
        <v>45778</v>
      </c>
      <c r="B52" s="11">
        <v>0.123</v>
      </c>
      <c r="C52" s="5">
        <v>0.11600000000000001</v>
      </c>
      <c r="D52" s="5">
        <v>0.115</v>
      </c>
      <c r="E52" s="5">
        <v>0.13</v>
      </c>
      <c r="F52" s="5">
        <v>0.22500000000000001</v>
      </c>
      <c r="G52" s="5">
        <v>0.128</v>
      </c>
      <c r="H52" s="11">
        <v>0.13</v>
      </c>
      <c r="I52" s="5">
        <v>0.11700000000000001</v>
      </c>
      <c r="J52" s="5">
        <v>0.128</v>
      </c>
      <c r="K52" s="5">
        <v>0.13100000000000001</v>
      </c>
      <c r="L52" s="11">
        <v>0.14000000000000001</v>
      </c>
      <c r="M52" s="5">
        <v>0.215</v>
      </c>
      <c r="N52" s="5">
        <v>0.16400000000000001</v>
      </c>
      <c r="O52" s="5">
        <v>0.125</v>
      </c>
      <c r="P52" s="30"/>
      <c r="Q52" s="5">
        <v>0.109</v>
      </c>
      <c r="R52" s="5">
        <v>0.158</v>
      </c>
      <c r="S52" s="5">
        <v>0.10299999999999999</v>
      </c>
      <c r="T52" s="5">
        <v>0.2</v>
      </c>
      <c r="U52" s="5">
        <v>0.14499999999999999</v>
      </c>
      <c r="V52" s="5">
        <v>0.13700000000000001</v>
      </c>
      <c r="W52" s="5">
        <v>0.16600000000000001</v>
      </c>
      <c r="X52" s="5">
        <v>0.19500000000000001</v>
      </c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11">
        <f t="shared" si="0"/>
        <v>0.14545454545454548</v>
      </c>
    </row>
    <row r="53" spans="1:43" x14ac:dyDescent="0.3">
      <c r="A53" s="4">
        <v>45809</v>
      </c>
      <c r="B53" s="11">
        <v>0.20100000000000001</v>
      </c>
      <c r="C53" s="5">
        <v>0.109</v>
      </c>
      <c r="D53" s="5">
        <v>0.186</v>
      </c>
      <c r="E53" s="5">
        <v>0.22900000000000001</v>
      </c>
      <c r="F53" s="5">
        <v>0.219</v>
      </c>
      <c r="G53" s="5">
        <v>0.215</v>
      </c>
      <c r="H53" s="5">
        <v>0.129</v>
      </c>
      <c r="I53" s="5">
        <v>8.4000000000000005E-2</v>
      </c>
      <c r="J53" s="5">
        <v>0.14899999999999999</v>
      </c>
      <c r="K53" s="5">
        <v>0.16800000000000001</v>
      </c>
      <c r="L53" s="5">
        <v>0.14599999999999999</v>
      </c>
      <c r="M53" s="5">
        <v>0.21299999999999999</v>
      </c>
      <c r="N53" s="5">
        <v>0.14699999999999999</v>
      </c>
      <c r="O53" s="5">
        <v>0.221</v>
      </c>
      <c r="P53" s="30"/>
      <c r="Q53" s="5">
        <v>0.13400000000000001</v>
      </c>
      <c r="R53" s="5">
        <v>0.14000000000000001</v>
      </c>
      <c r="S53" s="5">
        <v>0.11600000000000001</v>
      </c>
      <c r="T53" s="5">
        <v>0.17699999999999999</v>
      </c>
      <c r="U53" s="5">
        <v>0.129</v>
      </c>
      <c r="V53" s="5">
        <v>0.13100000000000001</v>
      </c>
      <c r="W53" s="5">
        <v>0.159</v>
      </c>
      <c r="X53" s="5">
        <v>0.19900000000000001</v>
      </c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11">
        <f t="shared" si="0"/>
        <v>0.16368181818181818</v>
      </c>
    </row>
    <row r="54" spans="1:43" x14ac:dyDescent="0.3">
      <c r="A54" s="4">
        <v>45839</v>
      </c>
      <c r="B54" s="11">
        <v>0.19</v>
      </c>
      <c r="C54" s="5">
        <v>0.106</v>
      </c>
      <c r="D54" s="5">
        <v>0.18</v>
      </c>
      <c r="E54" s="5">
        <v>0.223</v>
      </c>
      <c r="F54" s="5">
        <v>0.214</v>
      </c>
      <c r="G54" s="5">
        <v>0.223</v>
      </c>
      <c r="H54" s="5">
        <v>0.13100000000000001</v>
      </c>
      <c r="I54" s="5">
        <v>0.14899999999999999</v>
      </c>
      <c r="J54" s="5">
        <v>0.129</v>
      </c>
      <c r="K54" s="5">
        <v>0.16500000000000001</v>
      </c>
      <c r="L54" s="5">
        <v>0.14599999999999999</v>
      </c>
      <c r="M54" s="11">
        <v>0.21</v>
      </c>
      <c r="N54" s="5">
        <v>0.15</v>
      </c>
      <c r="O54" s="5">
        <v>0.21199999999999999</v>
      </c>
      <c r="P54" s="30"/>
      <c r="Q54" s="5">
        <v>0.13200000000000001</v>
      </c>
      <c r="R54" s="5">
        <v>0.13300000000000001</v>
      </c>
      <c r="S54" s="5">
        <v>0.127</v>
      </c>
      <c r="T54" s="5">
        <v>0.192</v>
      </c>
      <c r="U54" s="5">
        <v>0.123</v>
      </c>
      <c r="V54" s="5">
        <v>0.125</v>
      </c>
      <c r="W54" s="5">
        <v>0.13200000000000001</v>
      </c>
      <c r="X54" s="5">
        <v>0.19600000000000001</v>
      </c>
      <c r="Y54" s="5">
        <v>0.23799999999999999</v>
      </c>
      <c r="Z54" s="5">
        <v>0.14199999999999999</v>
      </c>
      <c r="AA54" s="5">
        <v>0.123</v>
      </c>
      <c r="AB54" s="5">
        <v>0.218</v>
      </c>
      <c r="AC54" s="5">
        <v>0.112</v>
      </c>
      <c r="AD54" s="5">
        <v>0.17299999999999999</v>
      </c>
      <c r="AE54" s="5">
        <v>0.17100000000000001</v>
      </c>
      <c r="AF54" s="5">
        <v>0.124</v>
      </c>
      <c r="AG54" s="5">
        <v>0.108</v>
      </c>
      <c r="AH54" s="5">
        <v>0.182</v>
      </c>
      <c r="AI54" s="5">
        <v>0.14399999999999999</v>
      </c>
      <c r="AJ54" s="5">
        <v>0.217</v>
      </c>
      <c r="AK54" s="5"/>
      <c r="AL54" s="5"/>
      <c r="AM54" s="5"/>
      <c r="AN54" s="5"/>
      <c r="AO54" s="5"/>
      <c r="AP54" s="5"/>
      <c r="AQ54" s="11">
        <f t="shared" si="0"/>
        <v>0.16294117647058826</v>
      </c>
    </row>
    <row r="55" spans="1:43" x14ac:dyDescent="0.3">
      <c r="A55" s="4">
        <v>45870</v>
      </c>
      <c r="B55" s="11">
        <v>0.185</v>
      </c>
      <c r="C55" s="5">
        <v>0.109</v>
      </c>
      <c r="D55" s="5">
        <v>0.17599999999999999</v>
      </c>
      <c r="E55" s="5">
        <v>0.24099999999999999</v>
      </c>
      <c r="F55" s="5">
        <v>0.218</v>
      </c>
      <c r="G55" s="5">
        <v>0.22900000000000001</v>
      </c>
      <c r="H55" s="5">
        <v>0.125</v>
      </c>
      <c r="I55" s="5">
        <v>0.14599999999999999</v>
      </c>
      <c r="J55" s="5">
        <v>0.13700000000000001</v>
      </c>
      <c r="K55" s="11">
        <v>0.15</v>
      </c>
      <c r="L55" s="5">
        <v>0.13900000000000001</v>
      </c>
      <c r="M55" s="5">
        <v>0.221</v>
      </c>
      <c r="N55" s="5">
        <v>0.154</v>
      </c>
      <c r="O55" s="5">
        <v>0.22</v>
      </c>
      <c r="P55" s="30"/>
      <c r="Q55" s="5">
        <v>0.156</v>
      </c>
      <c r="R55" s="5">
        <v>0.13400000000000001</v>
      </c>
      <c r="S55" s="5">
        <v>0.11</v>
      </c>
      <c r="T55" s="5">
        <v>0.24199999999999999</v>
      </c>
      <c r="U55" s="8">
        <v>0.14399999999999999</v>
      </c>
      <c r="V55" s="5">
        <v>0.125</v>
      </c>
      <c r="W55" s="5">
        <v>0.17</v>
      </c>
      <c r="X55" s="5">
        <v>0.19900000000000001</v>
      </c>
      <c r="Y55" s="5">
        <v>0.251</v>
      </c>
      <c r="Z55" s="5">
        <v>0.14099999999999999</v>
      </c>
      <c r="AA55" s="5">
        <v>0.125</v>
      </c>
      <c r="AB55" s="5">
        <v>0.221</v>
      </c>
      <c r="AC55" s="5">
        <v>0.115</v>
      </c>
      <c r="AD55" s="5">
        <v>0.19</v>
      </c>
      <c r="AE55" s="5">
        <v>0.17399999999999999</v>
      </c>
      <c r="AF55" s="5">
        <v>0.13700000000000001</v>
      </c>
      <c r="AG55" s="5">
        <v>0.126</v>
      </c>
      <c r="AH55" s="5">
        <v>0.17699999999999999</v>
      </c>
      <c r="AI55" s="5">
        <v>0.14899999999999999</v>
      </c>
      <c r="AJ55" s="5">
        <v>0.21199999999999999</v>
      </c>
      <c r="AK55" s="5"/>
      <c r="AL55" s="5"/>
      <c r="AM55" s="5"/>
      <c r="AN55" s="5"/>
      <c r="AO55" s="5"/>
      <c r="AP55" s="5"/>
      <c r="AQ55" s="11">
        <f t="shared" si="0"/>
        <v>0.16905882352941173</v>
      </c>
    </row>
    <row r="56" spans="1:43" x14ac:dyDescent="0.3">
      <c r="A56" s="4">
        <v>45901</v>
      </c>
      <c r="B56" s="11">
        <v>0.184</v>
      </c>
      <c r="C56" s="5">
        <v>0.107</v>
      </c>
      <c r="D56" s="5">
        <v>0.16500000000000001</v>
      </c>
      <c r="E56" s="5">
        <v>0.223</v>
      </c>
      <c r="F56" s="5">
        <v>0.221</v>
      </c>
      <c r="G56" s="5">
        <v>0.224</v>
      </c>
      <c r="H56" s="11">
        <v>0.15</v>
      </c>
      <c r="I56" s="5">
        <v>0.11600000000000001</v>
      </c>
      <c r="J56" s="5">
        <v>0.13700000000000001</v>
      </c>
      <c r="K56" s="5">
        <v>0.153</v>
      </c>
      <c r="L56" s="5">
        <v>0.13900000000000001</v>
      </c>
      <c r="M56" s="5">
        <v>0.222</v>
      </c>
      <c r="N56" s="5">
        <v>0.16400000000000001</v>
      </c>
      <c r="O56" s="5">
        <v>0.223</v>
      </c>
      <c r="P56" s="30"/>
      <c r="Q56" s="5">
        <v>0.14899999999999999</v>
      </c>
      <c r="R56" s="5">
        <v>0.13500000000000001</v>
      </c>
      <c r="S56" s="5">
        <v>0.11600000000000001</v>
      </c>
      <c r="T56" s="5">
        <v>0.23799999999999999</v>
      </c>
      <c r="U56" s="8">
        <v>0.193</v>
      </c>
      <c r="V56" s="5">
        <v>0.125</v>
      </c>
      <c r="W56" s="5">
        <v>0.16</v>
      </c>
      <c r="X56" s="5">
        <v>0.20100000000000001</v>
      </c>
      <c r="Y56" s="5">
        <v>0.23300000000000001</v>
      </c>
      <c r="Z56" s="5">
        <v>0.17399999999999999</v>
      </c>
      <c r="AA56" s="5">
        <v>0.108</v>
      </c>
      <c r="AB56" s="5">
        <v>0.221</v>
      </c>
      <c r="AC56" s="5">
        <v>0.127</v>
      </c>
      <c r="AD56" s="5">
        <v>0.216</v>
      </c>
      <c r="AE56" s="5">
        <v>0.20200000000000001</v>
      </c>
      <c r="AF56" s="5">
        <v>0.13700000000000001</v>
      </c>
      <c r="AG56" s="5">
        <v>0.126</v>
      </c>
      <c r="AH56" s="5">
        <v>0.188</v>
      </c>
      <c r="AI56" s="5">
        <v>0.187</v>
      </c>
      <c r="AJ56" s="5">
        <v>0.23699999999999999</v>
      </c>
      <c r="AK56" s="5"/>
      <c r="AL56" s="5"/>
      <c r="AM56" s="5"/>
      <c r="AN56" s="5"/>
      <c r="AO56" s="5"/>
      <c r="AP56" s="5"/>
      <c r="AQ56" s="11">
        <f t="shared" si="0"/>
        <v>0.17355882352941179</v>
      </c>
    </row>
    <row r="57" spans="1:43" x14ac:dyDescent="0.3">
      <c r="A57" s="4">
        <v>45931</v>
      </c>
      <c r="B57" s="11">
        <v>0.122</v>
      </c>
      <c r="C57" s="5">
        <v>0.123</v>
      </c>
      <c r="D57" s="5">
        <v>0.111</v>
      </c>
      <c r="E57" s="5">
        <v>0.13200000000000001</v>
      </c>
      <c r="F57" s="5">
        <v>0.221</v>
      </c>
      <c r="G57" s="5">
        <v>0.14000000000000001</v>
      </c>
      <c r="H57" s="5">
        <v>0.125</v>
      </c>
      <c r="I57" s="5">
        <v>0.125</v>
      </c>
      <c r="J57" s="5">
        <v>0.13500000000000001</v>
      </c>
      <c r="K57" s="5">
        <v>0.14599999999999999</v>
      </c>
      <c r="L57" s="5">
        <v>0.14599999999999999</v>
      </c>
      <c r="M57" s="5">
        <v>0.22500000000000001</v>
      </c>
      <c r="N57" s="5">
        <v>0.157</v>
      </c>
      <c r="O57" s="5">
        <v>0.14000000000000001</v>
      </c>
      <c r="P57" s="30"/>
      <c r="Q57" s="5">
        <v>0.14599999999999999</v>
      </c>
      <c r="R57" s="5">
        <v>0.153</v>
      </c>
      <c r="S57" s="5">
        <v>0.11700000000000001</v>
      </c>
      <c r="T57" s="5">
        <v>0.24399999999999999</v>
      </c>
      <c r="U57" s="8">
        <v>0.152</v>
      </c>
      <c r="V57" s="5">
        <v>0.151</v>
      </c>
      <c r="W57" s="5">
        <v>0.185</v>
      </c>
      <c r="X57" s="5">
        <v>0.19800000000000001</v>
      </c>
      <c r="Y57" s="5">
        <v>0.24299999999999999</v>
      </c>
      <c r="Z57" s="5">
        <v>0.17499999999999999</v>
      </c>
      <c r="AA57" s="5">
        <v>0.11700000000000001</v>
      </c>
      <c r="AB57" s="5">
        <v>0.13400000000000001</v>
      </c>
      <c r="AC57" s="5">
        <v>0.128</v>
      </c>
      <c r="AD57" s="5">
        <v>0.214</v>
      </c>
      <c r="AE57" s="5">
        <v>0.20499999999999999</v>
      </c>
      <c r="AF57" s="5">
        <v>0.13500000000000001</v>
      </c>
      <c r="AG57" s="5">
        <v>0.128</v>
      </c>
      <c r="AH57" s="5">
        <v>0.24099999999999999</v>
      </c>
      <c r="AI57" s="5">
        <v>0.16200000000000001</v>
      </c>
      <c r="AJ57" s="5">
        <v>0.24099999999999999</v>
      </c>
      <c r="AK57" s="5"/>
      <c r="AL57" s="5"/>
      <c r="AM57" s="5"/>
      <c r="AN57" s="5"/>
      <c r="AO57" s="5"/>
      <c r="AP57" s="5"/>
      <c r="AQ57" s="11">
        <f t="shared" si="0"/>
        <v>0.16226470588235292</v>
      </c>
    </row>
    <row r="58" spans="1:43" x14ac:dyDescent="0.3">
      <c r="A58" s="4">
        <v>45962</v>
      </c>
      <c r="B58" s="11">
        <v>0.11799999999999999</v>
      </c>
      <c r="C58" s="5">
        <v>0.121</v>
      </c>
      <c r="D58" s="5">
        <v>0.115</v>
      </c>
      <c r="E58" s="5">
        <v>0.125</v>
      </c>
      <c r="F58" s="5">
        <v>0.21299999999999999</v>
      </c>
      <c r="G58" s="5">
        <v>0.14000000000000001</v>
      </c>
      <c r="H58" s="5">
        <v>0.122</v>
      </c>
      <c r="I58" s="5">
        <v>0.20599999999999999</v>
      </c>
      <c r="J58" s="5">
        <v>0.13800000000000001</v>
      </c>
      <c r="K58" s="5">
        <v>0.14199999999999999</v>
      </c>
      <c r="L58" s="5">
        <v>0.13800000000000001</v>
      </c>
      <c r="M58" s="5">
        <v>0.21199999999999999</v>
      </c>
      <c r="N58" s="5">
        <v>0.16</v>
      </c>
      <c r="O58" s="5">
        <v>0.151</v>
      </c>
      <c r="P58" s="30"/>
      <c r="Q58" s="5">
        <v>0.192</v>
      </c>
      <c r="R58" s="5">
        <v>0.19</v>
      </c>
      <c r="S58" s="5">
        <v>0.13100000000000001</v>
      </c>
      <c r="T58" s="5">
        <v>0.23499999999999999</v>
      </c>
      <c r="U58" s="8">
        <v>0.15</v>
      </c>
      <c r="V58" s="5">
        <v>0.158</v>
      </c>
      <c r="W58" s="5">
        <v>0.16900000000000001</v>
      </c>
      <c r="X58" s="5">
        <v>0.183</v>
      </c>
      <c r="Y58" s="5">
        <v>0.246</v>
      </c>
      <c r="Z58" s="5">
        <v>0.13900000000000001</v>
      </c>
      <c r="AA58" s="5">
        <v>0.14000000000000001</v>
      </c>
      <c r="AB58" s="5">
        <v>0.126</v>
      </c>
      <c r="AC58" s="5">
        <v>0.16800000000000001</v>
      </c>
      <c r="AD58" s="5">
        <v>0.21199999999999999</v>
      </c>
      <c r="AE58" s="5">
        <v>0.22</v>
      </c>
      <c r="AF58" s="5">
        <v>0.13100000000000001</v>
      </c>
      <c r="AG58" s="5">
        <v>0.14799999999999999</v>
      </c>
      <c r="AH58" s="5">
        <v>0.20499999999999999</v>
      </c>
      <c r="AI58" s="5">
        <v>0.126</v>
      </c>
      <c r="AJ58" s="5">
        <v>0.29499999999999998</v>
      </c>
      <c r="AK58" s="5"/>
      <c r="AL58" s="5"/>
      <c r="AM58" s="5"/>
      <c r="AN58" s="5"/>
      <c r="AO58" s="5"/>
      <c r="AP58" s="5"/>
      <c r="AQ58" s="11">
        <f t="shared" si="0"/>
        <v>0.16661764705882351</v>
      </c>
    </row>
    <row r="59" spans="1:43" x14ac:dyDescent="0.3">
      <c r="A59" s="4">
        <v>45992</v>
      </c>
      <c r="B59" s="11">
        <v>0.115</v>
      </c>
      <c r="C59" s="5">
        <v>0.121</v>
      </c>
      <c r="D59" s="5">
        <v>0.114</v>
      </c>
      <c r="E59" s="5">
        <v>0.13</v>
      </c>
      <c r="F59" s="5">
        <v>0.184</v>
      </c>
      <c r="G59" s="5">
        <v>0.14199999999999999</v>
      </c>
      <c r="H59" s="5">
        <v>0.13500000000000001</v>
      </c>
      <c r="I59" s="5">
        <v>0.121</v>
      </c>
      <c r="J59" s="5">
        <v>0.112</v>
      </c>
      <c r="K59" s="5">
        <v>0.128</v>
      </c>
      <c r="L59" s="5">
        <v>0.113</v>
      </c>
      <c r="M59" s="5">
        <v>0.17599999999999999</v>
      </c>
      <c r="N59" s="5">
        <v>0.17799999999999999</v>
      </c>
      <c r="O59" s="5">
        <v>0.16700000000000001</v>
      </c>
      <c r="P59" s="5">
        <v>0.114</v>
      </c>
      <c r="Q59" s="5">
        <v>0.13100000000000001</v>
      </c>
      <c r="R59" s="5">
        <v>0.17899999999999999</v>
      </c>
      <c r="S59" s="5">
        <v>0.13100000000000001</v>
      </c>
      <c r="T59" s="5">
        <v>0.215</v>
      </c>
      <c r="U59" s="8">
        <v>0.15</v>
      </c>
      <c r="V59" s="5">
        <v>0.17499999999999999</v>
      </c>
      <c r="W59" s="5">
        <v>0.16</v>
      </c>
      <c r="X59" s="5">
        <v>0.13900000000000001</v>
      </c>
      <c r="Y59" s="5">
        <v>0.25600000000000001</v>
      </c>
      <c r="Z59" s="5">
        <v>0.13700000000000001</v>
      </c>
      <c r="AA59" s="5">
        <v>0.14799999999999999</v>
      </c>
      <c r="AB59" s="5">
        <v>0.11799999999999999</v>
      </c>
      <c r="AC59" s="5">
        <v>0.184</v>
      </c>
      <c r="AD59" s="5">
        <v>0.21199999999999999</v>
      </c>
      <c r="AE59" s="5">
        <v>0.21099999999999999</v>
      </c>
      <c r="AF59" s="5">
        <v>0.156</v>
      </c>
      <c r="AG59" s="5">
        <v>0.14899999999999999</v>
      </c>
      <c r="AH59" s="5">
        <v>0.23899999999999999</v>
      </c>
      <c r="AI59" s="5">
        <v>0.11700000000000001</v>
      </c>
      <c r="AJ59" s="5">
        <v>0.23499999999999999</v>
      </c>
      <c r="AK59" s="5"/>
      <c r="AL59" s="5"/>
      <c r="AM59" s="5"/>
      <c r="AN59" s="5"/>
      <c r="AO59" s="5"/>
      <c r="AP59" s="5"/>
      <c r="AQ59" s="11">
        <f t="shared" si="0"/>
        <v>0.1569142857142857</v>
      </c>
    </row>
    <row r="60" spans="1:43" x14ac:dyDescent="0.3">
      <c r="A60" s="4">
        <v>46023</v>
      </c>
      <c r="B60" s="11">
        <v>0.11600000000000001</v>
      </c>
      <c r="C60" s="5">
        <v>0.11</v>
      </c>
      <c r="D60" s="5">
        <v>0.115</v>
      </c>
      <c r="E60" s="5">
        <v>0.11899999999999999</v>
      </c>
      <c r="F60" s="5">
        <v>0.17399999999999999</v>
      </c>
      <c r="G60" s="5">
        <v>0.13900000000000001</v>
      </c>
      <c r="H60" s="5">
        <v>0.128</v>
      </c>
      <c r="I60" s="5">
        <v>0.151</v>
      </c>
      <c r="J60" s="5">
        <v>0.11799999999999999</v>
      </c>
      <c r="K60" s="5">
        <v>0.121</v>
      </c>
      <c r="L60" s="5">
        <v>0.111</v>
      </c>
      <c r="M60" s="5">
        <v>0.16</v>
      </c>
      <c r="N60" s="5">
        <v>0.17199999999999999</v>
      </c>
      <c r="O60" s="5">
        <v>0.14099999999999999</v>
      </c>
      <c r="P60" s="5">
        <v>0.113</v>
      </c>
      <c r="Q60" s="5">
        <v>0.15</v>
      </c>
      <c r="R60" s="5">
        <v>0.19400000000000001</v>
      </c>
      <c r="S60" s="5">
        <v>0.125</v>
      </c>
      <c r="T60" s="5">
        <v>0.20499999999999999</v>
      </c>
      <c r="U60" s="8">
        <v>0.155</v>
      </c>
      <c r="V60" s="5">
        <v>0.16500000000000001</v>
      </c>
      <c r="W60" s="5">
        <v>0.14599999999999999</v>
      </c>
      <c r="X60" s="5">
        <v>0.14499999999999999</v>
      </c>
      <c r="Y60" s="5">
        <v>0.252</v>
      </c>
      <c r="Z60" s="5">
        <v>0.129</v>
      </c>
      <c r="AA60" s="5">
        <v>0.154</v>
      </c>
      <c r="AB60" s="5">
        <v>0.115</v>
      </c>
      <c r="AC60" s="5">
        <v>0.17699999999999999</v>
      </c>
      <c r="AD60" s="5">
        <v>0.21199999999999999</v>
      </c>
      <c r="AE60" s="5">
        <v>0.22500000000000001</v>
      </c>
      <c r="AF60" s="5">
        <v>0.158</v>
      </c>
      <c r="AG60" s="39">
        <v>0.14899999999999999</v>
      </c>
      <c r="AH60" s="5">
        <v>0.24399999999999999</v>
      </c>
      <c r="AI60" s="5">
        <v>0.115</v>
      </c>
      <c r="AJ60" s="5">
        <v>0.22600000000000001</v>
      </c>
      <c r="AK60" s="5">
        <v>0.12</v>
      </c>
      <c r="AL60" s="5">
        <v>0.1</v>
      </c>
      <c r="AM60" s="5"/>
      <c r="AN60" s="5"/>
      <c r="AO60" s="5"/>
      <c r="AP60" s="5"/>
      <c r="AQ60" s="11">
        <f t="shared" si="0"/>
        <v>0.15267567567567566</v>
      </c>
    </row>
    <row r="61" spans="1:43" x14ac:dyDescent="0.3">
      <c r="A61" s="4">
        <v>46054</v>
      </c>
      <c r="B61" s="11">
        <v>0.121</v>
      </c>
      <c r="C61" s="5">
        <v>0.121</v>
      </c>
      <c r="D61" s="5">
        <v>0.11600000000000001</v>
      </c>
      <c r="E61" s="5">
        <v>0.12</v>
      </c>
      <c r="F61" s="5">
        <v>0.20399999999999999</v>
      </c>
      <c r="G61" s="5">
        <v>0.14199999999999999</v>
      </c>
      <c r="H61" s="5">
        <v>0.13</v>
      </c>
      <c r="I61" s="5">
        <v>0.156</v>
      </c>
      <c r="J61" s="5">
        <v>0.124</v>
      </c>
      <c r="K61" s="5">
        <v>0.14499999999999999</v>
      </c>
      <c r="L61" s="5">
        <v>0.113</v>
      </c>
      <c r="M61" s="5">
        <v>0.17499999999999999</v>
      </c>
      <c r="N61" s="5">
        <v>0.19700000000000001</v>
      </c>
      <c r="O61" s="5">
        <v>0.159</v>
      </c>
      <c r="P61" s="5">
        <v>0.121</v>
      </c>
      <c r="Q61" s="5">
        <v>0.17100000000000001</v>
      </c>
      <c r="R61" s="5">
        <v>0.2</v>
      </c>
      <c r="S61" s="5">
        <v>0.128</v>
      </c>
      <c r="T61" s="5">
        <v>0.24099999999999999</v>
      </c>
      <c r="U61" s="8">
        <v>0.18</v>
      </c>
      <c r="V61" s="5">
        <v>0.17199999999999999</v>
      </c>
      <c r="W61" s="5">
        <v>0.17199999999999999</v>
      </c>
      <c r="X61" s="5">
        <v>0.14299999999999999</v>
      </c>
      <c r="Y61" s="5">
        <v>0.24399999999999999</v>
      </c>
      <c r="Z61" s="5">
        <v>0.17699999999999999</v>
      </c>
      <c r="AA61" s="5">
        <v>0.16900000000000001</v>
      </c>
      <c r="AB61" s="5">
        <v>0.11899999999999999</v>
      </c>
      <c r="AC61" s="5">
        <v>0.192</v>
      </c>
      <c r="AD61" s="5">
        <v>0.217</v>
      </c>
      <c r="AE61" s="5">
        <v>0.224</v>
      </c>
      <c r="AF61" s="5">
        <v>0.161</v>
      </c>
      <c r="AG61" s="5">
        <v>0.15</v>
      </c>
      <c r="AH61" s="5">
        <v>0.24299999999999999</v>
      </c>
      <c r="AI61" s="5">
        <v>0.126</v>
      </c>
      <c r="AJ61" s="5">
        <v>0.22900000000000001</v>
      </c>
      <c r="AK61" s="5">
        <v>0.122</v>
      </c>
      <c r="AL61" s="5">
        <v>0.10199999999999999</v>
      </c>
      <c r="AM61" s="5"/>
      <c r="AN61" s="5">
        <v>0.182</v>
      </c>
      <c r="AO61" s="5"/>
      <c r="AP61" s="5"/>
      <c r="AQ61" s="11">
        <f t="shared" si="0"/>
        <v>0.16336842105263163</v>
      </c>
    </row>
    <row r="62" spans="1:43" x14ac:dyDescent="0.3">
      <c r="A62" s="4">
        <v>46082</v>
      </c>
      <c r="B62" s="11">
        <v>0.12</v>
      </c>
      <c r="C62" s="5">
        <v>0.126</v>
      </c>
      <c r="D62" s="5">
        <v>0.11899999999999999</v>
      </c>
      <c r="E62" s="5">
        <v>0.114</v>
      </c>
      <c r="F62" s="5">
        <v>0.221</v>
      </c>
      <c r="G62" s="5">
        <v>0.13700000000000001</v>
      </c>
      <c r="H62" s="5">
        <v>0.13</v>
      </c>
      <c r="I62" s="5">
        <v>0.16300000000000001</v>
      </c>
      <c r="J62" s="5">
        <v>0.13900000000000001</v>
      </c>
      <c r="K62" s="5">
        <v>0.14000000000000001</v>
      </c>
      <c r="L62" s="5">
        <v>0.11700000000000001</v>
      </c>
      <c r="M62" s="5">
        <v>0.17199999999999999</v>
      </c>
      <c r="N62" s="5">
        <v>0.17899999999999999</v>
      </c>
      <c r="O62" s="5">
        <v>0.14599999999999999</v>
      </c>
      <c r="P62" s="5">
        <v>0.13400000000000001</v>
      </c>
      <c r="Q62" s="5">
        <v>0.14699999999999999</v>
      </c>
      <c r="R62" s="5">
        <v>0.19700000000000001</v>
      </c>
      <c r="S62" s="5">
        <v>0.13</v>
      </c>
      <c r="T62" s="5">
        <v>0.23799999999999999</v>
      </c>
      <c r="U62" s="8">
        <v>0.112</v>
      </c>
      <c r="V62" s="5">
        <v>0.156</v>
      </c>
      <c r="W62" s="5">
        <v>0.185</v>
      </c>
      <c r="X62" s="5">
        <v>0.192</v>
      </c>
      <c r="Y62" s="5">
        <v>0.215</v>
      </c>
      <c r="Z62" s="5">
        <v>0.154</v>
      </c>
      <c r="AA62" s="5">
        <v>0.14299999999999999</v>
      </c>
      <c r="AB62" s="5">
        <v>0.11799999999999999</v>
      </c>
      <c r="AC62" s="5">
        <v>0.18</v>
      </c>
      <c r="AD62" s="5">
        <v>0.21299999999999999</v>
      </c>
      <c r="AE62" s="5">
        <v>0.217</v>
      </c>
      <c r="AF62" s="5">
        <v>0.13600000000000001</v>
      </c>
      <c r="AG62" s="5">
        <v>0.14399999999999999</v>
      </c>
      <c r="AH62" s="5">
        <v>0.23599999999999999</v>
      </c>
      <c r="AI62" s="5">
        <v>0.14499999999999999</v>
      </c>
      <c r="AJ62" s="5">
        <v>0.217</v>
      </c>
      <c r="AK62" s="5">
        <v>0.11700000000000001</v>
      </c>
      <c r="AL62" s="5">
        <v>9.7000000000000003E-2</v>
      </c>
      <c r="AM62" s="5"/>
      <c r="AN62" s="5">
        <v>0.20200000000000001</v>
      </c>
      <c r="AO62" s="5"/>
      <c r="AP62" s="5">
        <v>0.21199999999999999</v>
      </c>
      <c r="AQ62" s="11">
        <f t="shared" si="0"/>
        <v>0.16051282051282048</v>
      </c>
    </row>
    <row r="63" spans="1:43" x14ac:dyDescent="0.3">
      <c r="A63" s="4">
        <v>46113</v>
      </c>
      <c r="B63" s="11">
        <v>0.125</v>
      </c>
      <c r="C63" s="5">
        <v>0.11899999999999999</v>
      </c>
      <c r="D63" s="5">
        <v>0.113</v>
      </c>
      <c r="E63" s="5">
        <v>0.13900000000000001</v>
      </c>
      <c r="F63" s="5">
        <v>0.22700000000000001</v>
      </c>
      <c r="G63" s="5">
        <v>0.14099999999999999</v>
      </c>
      <c r="H63" s="5">
        <v>0.127</v>
      </c>
      <c r="I63" s="5">
        <v>0.13700000000000001</v>
      </c>
      <c r="J63" s="5">
        <v>0.13800000000000001</v>
      </c>
      <c r="K63" s="5">
        <v>0.152</v>
      </c>
      <c r="L63" s="5">
        <v>0.13300000000000001</v>
      </c>
      <c r="M63" s="5">
        <v>0.21299999999999999</v>
      </c>
      <c r="N63" s="5">
        <v>0.16500000000000001</v>
      </c>
      <c r="O63" s="5">
        <v>0.14299999999999999</v>
      </c>
      <c r="P63" s="5">
        <v>0.113</v>
      </c>
      <c r="Q63" s="5">
        <v>0.14299999999999999</v>
      </c>
      <c r="R63" s="5">
        <v>0.187</v>
      </c>
      <c r="S63" s="5">
        <v>0.107</v>
      </c>
      <c r="T63" s="5">
        <v>0.23799999999999999</v>
      </c>
      <c r="U63" s="8">
        <v>9.1999999999999998E-2</v>
      </c>
      <c r="V63" s="5">
        <v>0.16700000000000001</v>
      </c>
      <c r="W63" s="5">
        <v>0.20100000000000001</v>
      </c>
      <c r="X63" s="5">
        <v>0.18099999999999999</v>
      </c>
      <c r="Y63" s="5">
        <v>0.17</v>
      </c>
      <c r="Z63" s="5">
        <v>0.14399999999999999</v>
      </c>
      <c r="AA63" s="5">
        <v>0.13600000000000001</v>
      </c>
      <c r="AB63" s="5">
        <v>0.126</v>
      </c>
      <c r="AC63" s="5">
        <v>0.156</v>
      </c>
      <c r="AD63" s="5">
        <v>0.219</v>
      </c>
      <c r="AE63" s="5">
        <v>0.222</v>
      </c>
      <c r="AF63" s="5">
        <v>0.13900000000000001</v>
      </c>
      <c r="AG63" s="39">
        <v>0.14399999999999999</v>
      </c>
      <c r="AH63" s="5">
        <v>0.23799999999999999</v>
      </c>
      <c r="AI63" s="5">
        <v>0.16600000000000001</v>
      </c>
      <c r="AJ63" s="5">
        <v>0.20399999999999999</v>
      </c>
      <c r="AK63" s="5">
        <v>0.128</v>
      </c>
      <c r="AL63" s="5">
        <v>9.8000000000000004E-2</v>
      </c>
      <c r="AM63" s="5"/>
      <c r="AN63" s="5">
        <v>0.217</v>
      </c>
      <c r="AO63" s="5">
        <v>0.152</v>
      </c>
      <c r="AP63" s="5">
        <v>0.20899999999999999</v>
      </c>
      <c r="AQ63" s="11">
        <f t="shared" si="0"/>
        <v>0.15922500000000001</v>
      </c>
    </row>
    <row r="64" spans="1:43" x14ac:dyDescent="0.3">
      <c r="A64" s="4">
        <v>46143</v>
      </c>
      <c r="B64" s="11">
        <v>0.11700000000000001</v>
      </c>
      <c r="C64" s="5">
        <v>0.112</v>
      </c>
      <c r="D64" s="5">
        <v>0.108</v>
      </c>
      <c r="E64" s="5">
        <v>0.123</v>
      </c>
      <c r="F64" s="5">
        <v>0.21199999999999999</v>
      </c>
      <c r="G64" s="5">
        <v>0.13200000000000001</v>
      </c>
      <c r="H64" s="5">
        <v>0.11899999999999999</v>
      </c>
      <c r="I64" s="5">
        <v>0.11899999999999999</v>
      </c>
      <c r="J64" s="5">
        <v>0.13300000000000001</v>
      </c>
      <c r="K64" s="5">
        <v>0.15</v>
      </c>
      <c r="L64" s="5">
        <v>0.125</v>
      </c>
      <c r="M64" s="5">
        <v>0.187</v>
      </c>
      <c r="N64" s="5">
        <v>0.14299999999999999</v>
      </c>
      <c r="O64" s="5">
        <v>0.124</v>
      </c>
      <c r="P64" s="5">
        <v>0.123</v>
      </c>
      <c r="Q64" s="5">
        <v>0.16400000000000001</v>
      </c>
      <c r="R64" s="5">
        <v>0.17399999999999999</v>
      </c>
      <c r="S64" s="5">
        <v>0.112</v>
      </c>
      <c r="T64" s="5">
        <v>0.22</v>
      </c>
      <c r="U64" s="8">
        <v>0.13300000000000001</v>
      </c>
      <c r="V64" s="5">
        <v>0.152</v>
      </c>
      <c r="W64" s="5">
        <v>0.19900000000000001</v>
      </c>
      <c r="X64" s="5">
        <v>0.16800000000000001</v>
      </c>
      <c r="Y64" s="5">
        <v>0.187</v>
      </c>
      <c r="Z64" s="5">
        <v>0.153</v>
      </c>
      <c r="AA64" s="5">
        <v>0.124</v>
      </c>
      <c r="AB64" s="5">
        <v>0.11899999999999999</v>
      </c>
      <c r="AC64" s="5">
        <v>0.14799999999999999</v>
      </c>
      <c r="AD64" s="5">
        <v>0.21299999999999999</v>
      </c>
      <c r="AE64" s="5">
        <v>0.216</v>
      </c>
      <c r="AF64" s="5">
        <v>0.127</v>
      </c>
      <c r="AG64" s="5">
        <v>0.124</v>
      </c>
      <c r="AH64" s="5">
        <v>0.23400000000000001</v>
      </c>
      <c r="AI64" s="5">
        <v>0.17899999999999999</v>
      </c>
      <c r="AJ64" s="5">
        <v>0.248</v>
      </c>
      <c r="AK64" s="5">
        <v>0.126</v>
      </c>
      <c r="AL64" s="5">
        <v>0.104</v>
      </c>
      <c r="AM64" s="5">
        <v>0.125</v>
      </c>
      <c r="AN64" s="5">
        <v>0.20799999999999999</v>
      </c>
      <c r="AO64" s="5">
        <v>0.151</v>
      </c>
      <c r="AP64" s="5">
        <v>0.223</v>
      </c>
      <c r="AQ64" s="11">
        <f t="shared" si="0"/>
        <v>0.15507317073170734</v>
      </c>
    </row>
    <row r="65" spans="1:46" x14ac:dyDescent="0.3">
      <c r="A65" s="4">
        <v>46174</v>
      </c>
      <c r="B65" s="11">
        <v>0.188</v>
      </c>
      <c r="C65" s="39">
        <v>0.112</v>
      </c>
      <c r="D65" s="5">
        <v>0.17399999999999999</v>
      </c>
      <c r="E65" s="5">
        <v>0.215</v>
      </c>
      <c r="F65" s="5">
        <v>0.214</v>
      </c>
      <c r="G65" s="5">
        <v>0.219</v>
      </c>
      <c r="H65" s="39">
        <v>0.11899999999999999</v>
      </c>
      <c r="I65" s="5">
        <v>0.124</v>
      </c>
      <c r="J65" s="39">
        <v>0.13300000000000001</v>
      </c>
      <c r="K65" s="5">
        <v>0.156</v>
      </c>
      <c r="L65" s="5">
        <v>0.127</v>
      </c>
      <c r="M65" s="5">
        <v>0.17399999999999999</v>
      </c>
      <c r="N65" s="5">
        <v>0.13700000000000001</v>
      </c>
      <c r="O65" s="5">
        <v>0.216</v>
      </c>
      <c r="P65" s="39">
        <v>0.123</v>
      </c>
      <c r="Q65" s="5">
        <v>0.183</v>
      </c>
      <c r="R65" s="5">
        <v>0.14399999999999999</v>
      </c>
      <c r="S65" s="5">
        <v>0.107</v>
      </c>
      <c r="T65" s="5">
        <v>0.23</v>
      </c>
      <c r="U65" s="39">
        <v>0.13300000000000001</v>
      </c>
      <c r="V65" s="5">
        <v>0.14499999999999999</v>
      </c>
      <c r="W65" s="5">
        <v>0.19800000000000001</v>
      </c>
      <c r="X65" s="5">
        <v>0.16800000000000001</v>
      </c>
      <c r="Y65" s="5">
        <v>0.21099999999999999</v>
      </c>
      <c r="Z65" s="39">
        <v>0.153</v>
      </c>
      <c r="AA65" s="5">
        <v>0.105</v>
      </c>
      <c r="AB65" s="5">
        <v>0.215</v>
      </c>
      <c r="AC65" s="5">
        <v>0.13100000000000001</v>
      </c>
      <c r="AD65" s="5">
        <v>0.215</v>
      </c>
      <c r="AE65" s="5">
        <v>0.21199999999999999</v>
      </c>
      <c r="AF65" s="5">
        <v>0.13200000000000001</v>
      </c>
      <c r="AG65" s="39">
        <v>0.124</v>
      </c>
      <c r="AH65" s="5">
        <v>0.23699999999999999</v>
      </c>
      <c r="AI65" s="5">
        <v>0.19600000000000001</v>
      </c>
      <c r="AJ65" s="5">
        <v>0.22500000000000001</v>
      </c>
      <c r="AK65" s="39">
        <v>0.126</v>
      </c>
      <c r="AL65" s="39">
        <v>0.104</v>
      </c>
      <c r="AM65" s="5">
        <v>0.14000000000000001</v>
      </c>
      <c r="AN65" s="5">
        <v>0.158</v>
      </c>
      <c r="AO65" s="5">
        <v>0.23699999999999999</v>
      </c>
      <c r="AP65" s="5">
        <v>0.22500000000000001</v>
      </c>
      <c r="AQ65" s="11">
        <f t="shared" si="0"/>
        <v>0.16792682926829267</v>
      </c>
    </row>
    <row r="66" spans="1:46" x14ac:dyDescent="0.3">
      <c r="A66" s="4"/>
      <c r="B66" s="11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11"/>
    </row>
    <row r="67" spans="1:46" x14ac:dyDescent="0.3">
      <c r="A67" s="4"/>
      <c r="B67" s="11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11"/>
    </row>
    <row r="69" spans="1:46" x14ac:dyDescent="0.3">
      <c r="A69" s="15" t="s">
        <v>25</v>
      </c>
      <c r="B69" s="15"/>
      <c r="C69" s="15"/>
      <c r="D69" s="15"/>
      <c r="E69" s="15"/>
      <c r="F69" s="15"/>
      <c r="G69" s="15"/>
    </row>
    <row r="70" spans="1:46" x14ac:dyDescent="0.3">
      <c r="AH70" s="34"/>
      <c r="AI70" s="37"/>
      <c r="AJ70" s="34"/>
      <c r="AK70" s="34"/>
      <c r="AL70" s="34"/>
      <c r="AM70" s="34"/>
      <c r="AN70" s="34"/>
      <c r="AO70" s="34"/>
      <c r="AP70" s="34"/>
    </row>
    <row r="71" spans="1:46" x14ac:dyDescent="0.3">
      <c r="M71" s="34"/>
      <c r="N71" s="34"/>
      <c r="O71" s="34"/>
      <c r="P71" s="34"/>
      <c r="Q71" s="34"/>
      <c r="R71" s="34"/>
      <c r="S71" s="34"/>
      <c r="T71" s="34"/>
      <c r="U71" s="34"/>
      <c r="V71" s="36"/>
      <c r="W71" s="34"/>
      <c r="X71" s="34"/>
      <c r="Y71" s="36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</row>
    <row r="72" spans="1:46" x14ac:dyDescent="0.3"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S72" s="34"/>
      <c r="T72" s="34"/>
      <c r="U72" s="34"/>
      <c r="V72" s="36"/>
      <c r="W72" s="34"/>
      <c r="X72" s="34"/>
      <c r="Y72" s="36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</row>
    <row r="73" spans="1:46" x14ac:dyDescent="0.3"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S73" s="34"/>
      <c r="T73" s="34"/>
      <c r="U73" s="34"/>
      <c r="V73" s="36"/>
      <c r="W73" s="34"/>
      <c r="X73" s="34"/>
      <c r="Y73" s="36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</row>
    <row r="74" spans="1:46" x14ac:dyDescent="0.3"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6"/>
      <c r="W74" s="34"/>
      <c r="X74" s="34"/>
      <c r="Y74" s="36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</row>
    <row r="75" spans="1:46" x14ac:dyDescent="0.3"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6"/>
      <c r="W75" s="34"/>
      <c r="X75" s="34"/>
      <c r="Y75" s="36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</row>
    <row r="76" spans="1:46" x14ac:dyDescent="0.3"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S76" s="34"/>
      <c r="T76" s="34"/>
      <c r="U76" s="34"/>
      <c r="V76" s="36"/>
      <c r="W76" s="34"/>
      <c r="X76" s="34"/>
      <c r="Y76" s="36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</row>
    <row r="77" spans="1:46" x14ac:dyDescent="0.3"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S77" s="34"/>
      <c r="T77" s="34"/>
      <c r="U77" s="34"/>
      <c r="V77" s="36"/>
      <c r="W77" s="34"/>
      <c r="X77" s="34"/>
      <c r="Y77" s="36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</row>
    <row r="78" spans="1:46" x14ac:dyDescent="0.3"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S78" s="34"/>
      <c r="T78" s="34"/>
      <c r="U78" s="34"/>
      <c r="V78" s="36"/>
      <c r="W78" s="34"/>
      <c r="X78" s="34"/>
      <c r="Y78" s="36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</row>
    <row r="79" spans="1:46" x14ac:dyDescent="0.3"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S79" s="34"/>
      <c r="T79" s="34"/>
      <c r="U79" s="34"/>
      <c r="V79" s="36"/>
      <c r="W79" s="34"/>
      <c r="X79" s="34"/>
      <c r="Y79" s="36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</row>
    <row r="80" spans="1:46" x14ac:dyDescent="0.3"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S80" s="34"/>
      <c r="T80" s="34"/>
      <c r="U80" s="34"/>
      <c r="V80" s="36"/>
      <c r="W80" s="34"/>
      <c r="X80" s="34"/>
      <c r="Y80" s="36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</row>
    <row r="81" spans="4:46" x14ac:dyDescent="0.3"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S81" s="34"/>
      <c r="T81" s="34"/>
      <c r="U81" s="34"/>
      <c r="V81" s="36"/>
      <c r="W81" s="34"/>
      <c r="X81" s="34"/>
      <c r="Y81" s="36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</row>
    <row r="82" spans="4:46" x14ac:dyDescent="0.3"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S82" s="34"/>
      <c r="T82" s="34"/>
      <c r="U82" s="34"/>
      <c r="V82" s="36"/>
      <c r="W82" s="34"/>
      <c r="X82" s="34"/>
      <c r="Y82" s="36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</row>
    <row r="83" spans="4:46" x14ac:dyDescent="0.3"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S83" s="34"/>
      <c r="T83" s="34"/>
      <c r="U83" s="34"/>
      <c r="V83" s="36"/>
      <c r="W83" s="34"/>
      <c r="X83" s="34"/>
      <c r="Y83" s="36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</row>
    <row r="84" spans="4:46" x14ac:dyDescent="0.3"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S84" s="34"/>
      <c r="T84" s="34"/>
      <c r="U84" s="34"/>
      <c r="V84" s="36"/>
      <c r="W84" s="34"/>
      <c r="X84" s="34"/>
      <c r="Y84" s="36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</row>
    <row r="85" spans="4:46" x14ac:dyDescent="0.3"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S85" s="34"/>
      <c r="T85" s="34"/>
      <c r="U85" s="34"/>
      <c r="V85" s="36"/>
      <c r="W85" s="34"/>
      <c r="X85" s="34"/>
      <c r="Y85" s="36"/>
      <c r="Z85" s="34"/>
      <c r="AA85" s="34"/>
      <c r="AB85" s="34"/>
      <c r="AC85" s="34"/>
      <c r="AD85" s="34"/>
      <c r="AE85" s="34"/>
      <c r="AF85" s="34"/>
      <c r="AG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</row>
    <row r="86" spans="4:46" x14ac:dyDescent="0.3"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S86" s="34"/>
      <c r="T86" s="34"/>
      <c r="U86" s="34"/>
      <c r="V86" s="36"/>
      <c r="W86" s="34"/>
      <c r="X86" s="34"/>
      <c r="Y86" s="36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</row>
    <row r="87" spans="4:46" x14ac:dyDescent="0.3"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S87" s="34"/>
      <c r="T87" s="34"/>
      <c r="U87" s="34"/>
      <c r="V87" s="36"/>
      <c r="W87" s="34"/>
      <c r="X87" s="34"/>
      <c r="Y87" s="36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</row>
    <row r="88" spans="4:46" x14ac:dyDescent="0.3"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S88" s="34"/>
      <c r="T88" s="34"/>
      <c r="U88" s="34"/>
      <c r="V88" s="36"/>
      <c r="W88" s="34"/>
      <c r="X88" s="34"/>
      <c r="Y88" s="36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</row>
    <row r="89" spans="4:46" x14ac:dyDescent="0.3"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S89" s="34"/>
      <c r="T89" s="34"/>
      <c r="U89" s="34"/>
      <c r="V89" s="36"/>
      <c r="W89" s="34"/>
      <c r="X89" s="34"/>
      <c r="Y89" s="36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</row>
    <row r="90" spans="4:46" x14ac:dyDescent="0.3"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S90" s="34"/>
      <c r="T90" s="34"/>
      <c r="U90" s="34"/>
      <c r="V90" s="36"/>
      <c r="W90" s="34"/>
      <c r="X90" s="34"/>
      <c r="Y90" s="36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</row>
    <row r="91" spans="4:46" x14ac:dyDescent="0.3"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S91" s="34"/>
      <c r="T91" s="34"/>
      <c r="U91" s="34"/>
      <c r="V91" s="36"/>
      <c r="W91" s="34"/>
      <c r="X91" s="34"/>
      <c r="Y91" s="36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</row>
    <row r="92" spans="4:46" x14ac:dyDescent="0.3"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S92" s="34"/>
      <c r="T92" s="34"/>
      <c r="U92" s="34"/>
      <c r="V92" s="36"/>
      <c r="W92" s="34"/>
      <c r="X92" s="34"/>
      <c r="Y92" s="36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</row>
    <row r="93" spans="4:46" x14ac:dyDescent="0.3"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S93" s="34"/>
      <c r="T93" s="34"/>
      <c r="U93" s="34"/>
      <c r="V93" s="36"/>
      <c r="W93" s="34"/>
      <c r="X93" s="34"/>
      <c r="Y93" s="36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</row>
    <row r="94" spans="4:46" x14ac:dyDescent="0.3"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S94" s="34"/>
      <c r="T94" s="34"/>
      <c r="U94" s="34"/>
      <c r="V94" s="36"/>
      <c r="W94" s="34"/>
      <c r="X94" s="34"/>
      <c r="Y94" s="36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</row>
    <row r="95" spans="4:46" x14ac:dyDescent="0.3"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S95" s="34"/>
      <c r="T95" s="34"/>
      <c r="U95" s="34"/>
      <c r="V95" s="36"/>
      <c r="W95" s="34"/>
      <c r="X95" s="34"/>
      <c r="Y95" s="36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</row>
    <row r="96" spans="4:46" x14ac:dyDescent="0.3"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S96" s="34"/>
      <c r="T96" s="34"/>
      <c r="U96" s="34"/>
      <c r="V96" s="36"/>
      <c r="W96" s="34"/>
      <c r="X96" s="34"/>
      <c r="Y96" s="36"/>
      <c r="Z96" s="34"/>
      <c r="AA96" s="34"/>
      <c r="AB96" s="34"/>
      <c r="AC96" s="34"/>
      <c r="AD96" s="34"/>
      <c r="AE96" s="34"/>
      <c r="AF96" s="34"/>
      <c r="AG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</row>
    <row r="97" spans="4:45" x14ac:dyDescent="0.3">
      <c r="D97" s="34"/>
      <c r="E97" s="34"/>
      <c r="F97" s="34"/>
      <c r="G97" s="34"/>
      <c r="H97" s="34"/>
      <c r="I97" s="34"/>
      <c r="J97" s="34"/>
      <c r="K97" s="34"/>
      <c r="L97" s="34"/>
      <c r="N97" s="34"/>
      <c r="O97" s="34"/>
      <c r="Q97" s="34"/>
      <c r="AI97" s="34"/>
      <c r="AQ97" s="34"/>
      <c r="AS97" s="34"/>
    </row>
  </sheetData>
  <mergeCells count="1">
    <mergeCell ref="B1:AQ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2BB4-1AA3-4927-8839-347538D3FCD4}">
  <dimension ref="A1:AQ96"/>
  <sheetViews>
    <sheetView zoomScale="90" zoomScaleNormal="90" workbookViewId="0">
      <pane xSplit="1" ySplit="2" topLeftCell="AJ42" activePane="bottomRight" state="frozen"/>
      <selection pane="topRight" activeCell="B1" sqref="B1"/>
      <selection pane="bottomLeft" activeCell="A3" sqref="A3"/>
      <selection pane="bottomRight" activeCell="AQ3" sqref="AQ3:AQ65"/>
    </sheetView>
  </sheetViews>
  <sheetFormatPr defaultColWidth="8.5546875" defaultRowHeight="14.4" x14ac:dyDescent="0.3"/>
  <cols>
    <col min="1" max="1" width="8.5546875" style="1"/>
    <col min="2" max="3" width="10.88671875" style="1" customWidth="1"/>
    <col min="4" max="4" width="13" style="1" customWidth="1"/>
    <col min="5" max="25" width="10.88671875" style="1" customWidth="1"/>
    <col min="26" max="26" width="10.88671875" style="1" hidden="1" customWidth="1"/>
    <col min="27" max="42" width="10.88671875" style="1" customWidth="1"/>
    <col min="43" max="43" width="10.44140625" style="1" customWidth="1"/>
    <col min="44" max="16384" width="8.5546875" style="1"/>
  </cols>
  <sheetData>
    <row r="1" spans="1:43" x14ac:dyDescent="0.3">
      <c r="A1" s="43" t="s">
        <v>11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</row>
    <row r="2" spans="1:43" s="2" customFormat="1" ht="44.1" customHeight="1" x14ac:dyDescent="0.3">
      <c r="A2" s="3" t="s">
        <v>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59</v>
      </c>
      <c r="O2" s="3" t="s">
        <v>39</v>
      </c>
      <c r="P2" s="3" t="s">
        <v>62</v>
      </c>
      <c r="Q2" s="3" t="s">
        <v>40</v>
      </c>
      <c r="R2" s="3" t="s">
        <v>41</v>
      </c>
      <c r="S2" s="3" t="s">
        <v>42</v>
      </c>
      <c r="T2" s="3" t="s">
        <v>61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60</v>
      </c>
      <c r="AC2" s="3" t="s">
        <v>52</v>
      </c>
      <c r="AD2" s="3" t="s">
        <v>53</v>
      </c>
      <c r="AE2" s="3" t="s">
        <v>54</v>
      </c>
      <c r="AF2" s="3" t="s">
        <v>55</v>
      </c>
      <c r="AG2" s="3" t="s">
        <v>56</v>
      </c>
      <c r="AH2" s="3" t="s">
        <v>57</v>
      </c>
      <c r="AI2" s="3" t="s">
        <v>58</v>
      </c>
      <c r="AJ2" s="3" t="s">
        <v>63</v>
      </c>
      <c r="AK2" s="3" t="s">
        <v>65</v>
      </c>
      <c r="AL2" s="3" t="s">
        <v>66</v>
      </c>
      <c r="AM2" s="3" t="s">
        <v>67</v>
      </c>
      <c r="AN2" s="3" t="s">
        <v>68</v>
      </c>
      <c r="AO2" s="3" t="s">
        <v>69</v>
      </c>
      <c r="AP2" s="3" t="s">
        <v>70</v>
      </c>
      <c r="AQ2" s="3" t="s">
        <v>9</v>
      </c>
    </row>
    <row r="3" spans="1:43" x14ac:dyDescent="0.3">
      <c r="A3" s="4">
        <v>44287</v>
      </c>
      <c r="B3" s="19">
        <v>7.0000000000000007E-2</v>
      </c>
      <c r="C3" s="19">
        <v>7.0000000000000007E-2</v>
      </c>
      <c r="D3" s="19">
        <v>7.0000000000000007E-2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11">
        <f>AVERAGE(B3:AP3)</f>
        <v>7.0000000000000007E-2</v>
      </c>
    </row>
    <row r="4" spans="1:43" x14ac:dyDescent="0.3">
      <c r="A4" s="4">
        <v>44317</v>
      </c>
      <c r="B4" s="19">
        <v>7.0000000000000007E-2</v>
      </c>
      <c r="C4" s="19">
        <v>7.0000000000000007E-2</v>
      </c>
      <c r="D4" s="19">
        <v>7.0000000000000007E-2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11">
        <f t="shared" ref="AQ4:AQ65" si="0">AVERAGE(B4:AP4)</f>
        <v>7.0000000000000007E-2</v>
      </c>
    </row>
    <row r="5" spans="1:43" x14ac:dyDescent="0.3">
      <c r="A5" s="4">
        <v>44348</v>
      </c>
      <c r="B5" s="19">
        <v>7.0000000000000007E-2</v>
      </c>
      <c r="C5" s="19">
        <v>7.0000000000000007E-2</v>
      </c>
      <c r="D5" s="19">
        <v>7.0000000000000007E-2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11">
        <f t="shared" si="0"/>
        <v>7.0000000000000007E-2</v>
      </c>
    </row>
    <row r="6" spans="1:43" x14ac:dyDescent="0.3">
      <c r="A6" s="4">
        <v>44378</v>
      </c>
      <c r="B6" s="19">
        <v>7.0000000000000007E-2</v>
      </c>
      <c r="C6" s="19">
        <v>7.0000000000000007E-2</v>
      </c>
      <c r="D6" s="19">
        <v>7.0000000000000007E-2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11">
        <f t="shared" si="0"/>
        <v>7.0000000000000007E-2</v>
      </c>
    </row>
    <row r="7" spans="1:43" x14ac:dyDescent="0.3">
      <c r="A7" s="4">
        <v>44409</v>
      </c>
      <c r="B7" s="19">
        <v>7.0000000000000007E-2</v>
      </c>
      <c r="C7" s="19">
        <v>7.0000000000000007E-2</v>
      </c>
      <c r="D7" s="19">
        <v>7.0000000000000007E-2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11">
        <f t="shared" si="0"/>
        <v>7.0000000000000007E-2</v>
      </c>
    </row>
    <row r="8" spans="1:43" x14ac:dyDescent="0.3">
      <c r="A8" s="4">
        <v>44440</v>
      </c>
      <c r="B8" s="19">
        <v>7.0000000000000007E-2</v>
      </c>
      <c r="C8" s="19">
        <v>7.0000000000000007E-2</v>
      </c>
      <c r="D8" s="19">
        <v>7.0000000000000007E-2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11">
        <f t="shared" si="0"/>
        <v>7.0000000000000007E-2</v>
      </c>
    </row>
    <row r="9" spans="1:43" x14ac:dyDescent="0.3">
      <c r="A9" s="4">
        <v>44470</v>
      </c>
      <c r="B9" s="20">
        <v>7.0000000000000007E-2</v>
      </c>
      <c r="C9" s="20">
        <v>7.0000000000000007E-2</v>
      </c>
      <c r="D9" s="20">
        <v>7.0000000000000007E-2</v>
      </c>
      <c r="E9" s="20">
        <v>7.0000000000000007E-2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11">
        <f t="shared" si="0"/>
        <v>7.0000000000000007E-2</v>
      </c>
    </row>
    <row r="10" spans="1:43" x14ac:dyDescent="0.3">
      <c r="A10" s="4">
        <v>44501</v>
      </c>
      <c r="B10" s="20">
        <v>7.0000000000000007E-2</v>
      </c>
      <c r="C10" s="20">
        <v>7.0000000000000007E-2</v>
      </c>
      <c r="D10" s="20">
        <v>7.0000000000000007E-2</v>
      </c>
      <c r="E10" s="20">
        <v>7.0000000000000007E-2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11">
        <f t="shared" si="0"/>
        <v>7.0000000000000007E-2</v>
      </c>
    </row>
    <row r="11" spans="1:43" x14ac:dyDescent="0.3">
      <c r="A11" s="4">
        <v>44531</v>
      </c>
      <c r="B11" s="20">
        <v>7.0000000000000007E-2</v>
      </c>
      <c r="C11" s="20">
        <v>7.0000000000000007E-2</v>
      </c>
      <c r="D11" s="20">
        <v>7.0000000000000007E-2</v>
      </c>
      <c r="E11" s="20">
        <v>7.0000000000000007E-2</v>
      </c>
      <c r="F11" s="20">
        <v>7.0000000000000007E-2</v>
      </c>
      <c r="G11" s="20">
        <v>7.0000000000000007E-2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11">
        <f t="shared" si="0"/>
        <v>7.0000000000000007E-2</v>
      </c>
    </row>
    <row r="12" spans="1:43" x14ac:dyDescent="0.3">
      <c r="A12" s="4">
        <v>44562</v>
      </c>
      <c r="B12" s="20">
        <v>7.0000000000000007E-2</v>
      </c>
      <c r="C12" s="20">
        <v>7.0000000000000007E-2</v>
      </c>
      <c r="D12" s="20">
        <v>7.0000000000000007E-2</v>
      </c>
      <c r="E12" s="20">
        <v>7.0000000000000007E-2</v>
      </c>
      <c r="F12" s="20">
        <v>7.0000000000000007E-2</v>
      </c>
      <c r="G12" s="20">
        <v>7.0000000000000007E-2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11">
        <f t="shared" si="0"/>
        <v>7.0000000000000007E-2</v>
      </c>
    </row>
    <row r="13" spans="1:43" x14ac:dyDescent="0.3">
      <c r="A13" s="4">
        <v>44593</v>
      </c>
      <c r="B13" s="20">
        <v>7.0000000000000007E-2</v>
      </c>
      <c r="C13" s="20">
        <v>7.0000000000000007E-2</v>
      </c>
      <c r="D13" s="20">
        <v>7.0000000000000007E-2</v>
      </c>
      <c r="E13" s="20">
        <v>7.0000000000000007E-2</v>
      </c>
      <c r="F13" s="20">
        <v>7.0000000000000007E-2</v>
      </c>
      <c r="G13" s="20">
        <v>7.0000000000000007E-2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11">
        <f t="shared" si="0"/>
        <v>7.0000000000000007E-2</v>
      </c>
    </row>
    <row r="14" spans="1:43" x14ac:dyDescent="0.3">
      <c r="A14" s="4">
        <v>44621</v>
      </c>
      <c r="B14" s="20">
        <v>7.0000000000000007E-2</v>
      </c>
      <c r="C14" s="20">
        <v>7.0000000000000007E-2</v>
      </c>
      <c r="D14" s="20">
        <v>7.0000000000000007E-2</v>
      </c>
      <c r="E14" s="20">
        <v>7.0000000000000007E-2</v>
      </c>
      <c r="F14" s="20">
        <v>7.0000000000000007E-2</v>
      </c>
      <c r="G14" s="20">
        <v>7.0000000000000007E-2</v>
      </c>
      <c r="H14" s="20">
        <v>7.0000000000000007E-2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11">
        <f t="shared" si="0"/>
        <v>7.0000000000000007E-2</v>
      </c>
    </row>
    <row r="15" spans="1:43" x14ac:dyDescent="0.3">
      <c r="A15" s="4">
        <v>44652</v>
      </c>
      <c r="B15" s="21">
        <v>7.1099999999999997E-2</v>
      </c>
      <c r="C15" s="21">
        <v>7.1099999999999997E-2</v>
      </c>
      <c r="D15" s="21">
        <v>7.1099999999999997E-2</v>
      </c>
      <c r="E15" s="20">
        <v>7.0000000000000007E-2</v>
      </c>
      <c r="F15" s="20">
        <v>7.0000000000000007E-2</v>
      </c>
      <c r="G15" s="20">
        <v>7.0000000000000007E-2</v>
      </c>
      <c r="H15" s="20">
        <v>7.0000000000000007E-2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11">
        <f t="shared" si="0"/>
        <v>7.0471428571428574E-2</v>
      </c>
    </row>
    <row r="16" spans="1:43" x14ac:dyDescent="0.3">
      <c r="A16" s="4">
        <v>44682</v>
      </c>
      <c r="B16" s="21">
        <v>7.1099999999999997E-2</v>
      </c>
      <c r="C16" s="21">
        <v>7.1099999999999997E-2</v>
      </c>
      <c r="D16" s="21">
        <v>7.1099999999999997E-2</v>
      </c>
      <c r="E16" s="20">
        <v>7.0000000000000007E-2</v>
      </c>
      <c r="F16" s="20">
        <v>7.0000000000000007E-2</v>
      </c>
      <c r="G16" s="20">
        <v>7.0000000000000007E-2</v>
      </c>
      <c r="H16" s="20">
        <v>7.0000000000000007E-2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11">
        <f t="shared" si="0"/>
        <v>7.0471428571428574E-2</v>
      </c>
    </row>
    <row r="17" spans="1:43" x14ac:dyDescent="0.3">
      <c r="A17" s="4">
        <v>44713</v>
      </c>
      <c r="B17" s="21">
        <v>7.1099999999999997E-2</v>
      </c>
      <c r="C17" s="21">
        <v>7.1099999999999997E-2</v>
      </c>
      <c r="D17" s="21">
        <v>7.1099999999999997E-2</v>
      </c>
      <c r="E17" s="20">
        <v>7.0000000000000007E-2</v>
      </c>
      <c r="F17" s="20">
        <v>7.0000000000000007E-2</v>
      </c>
      <c r="G17" s="20">
        <v>7.0000000000000007E-2</v>
      </c>
      <c r="H17" s="20">
        <v>7.0000000000000007E-2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11">
        <f t="shared" si="0"/>
        <v>7.0471428571428574E-2</v>
      </c>
    </row>
    <row r="18" spans="1:43" x14ac:dyDescent="0.3">
      <c r="A18" s="4">
        <v>44743</v>
      </c>
      <c r="B18" s="21">
        <v>7.1099999999999997E-2</v>
      </c>
      <c r="C18" s="21">
        <v>7.1099999999999997E-2</v>
      </c>
      <c r="D18" s="21">
        <v>7.1099999999999997E-2</v>
      </c>
      <c r="E18" s="20">
        <v>7.0000000000000007E-2</v>
      </c>
      <c r="F18" s="20">
        <v>7.0000000000000007E-2</v>
      </c>
      <c r="G18" s="20">
        <v>7.0000000000000007E-2</v>
      </c>
      <c r="H18" s="20">
        <v>7.0000000000000007E-2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11">
        <f t="shared" si="0"/>
        <v>7.0471428571428574E-2</v>
      </c>
    </row>
    <row r="19" spans="1:43" x14ac:dyDescent="0.3">
      <c r="A19" s="4">
        <v>44774</v>
      </c>
      <c r="B19" s="21">
        <v>7.1099999999999997E-2</v>
      </c>
      <c r="C19" s="21">
        <v>7.1099999999999997E-2</v>
      </c>
      <c r="D19" s="21">
        <v>7.1099999999999997E-2</v>
      </c>
      <c r="E19" s="20">
        <v>7.0000000000000007E-2</v>
      </c>
      <c r="F19" s="20">
        <v>7.0000000000000007E-2</v>
      </c>
      <c r="G19" s="20">
        <v>7.0000000000000007E-2</v>
      </c>
      <c r="H19" s="20">
        <v>7.0000000000000007E-2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11">
        <f t="shared" si="0"/>
        <v>7.0471428571428574E-2</v>
      </c>
    </row>
    <row r="20" spans="1:43" x14ac:dyDescent="0.3">
      <c r="A20" s="4">
        <v>44805</v>
      </c>
      <c r="B20" s="21">
        <v>7.1099999999999997E-2</v>
      </c>
      <c r="C20" s="21">
        <v>7.1099999999999997E-2</v>
      </c>
      <c r="D20" s="21">
        <v>7.1099999999999997E-2</v>
      </c>
      <c r="E20" s="20">
        <v>7.0000000000000007E-2</v>
      </c>
      <c r="F20" s="20">
        <v>7.0000000000000007E-2</v>
      </c>
      <c r="G20" s="20">
        <v>7.0000000000000007E-2</v>
      </c>
      <c r="H20" s="20">
        <v>7.0000000000000007E-2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11">
        <f t="shared" si="0"/>
        <v>7.0471428571428574E-2</v>
      </c>
    </row>
    <row r="21" spans="1:43" x14ac:dyDescent="0.3">
      <c r="A21" s="4">
        <v>44835</v>
      </c>
      <c r="B21" s="21">
        <v>7.1099999999999997E-2</v>
      </c>
      <c r="C21" s="21">
        <v>7.1099999999999997E-2</v>
      </c>
      <c r="D21" s="21">
        <v>7.1099999999999997E-2</v>
      </c>
      <c r="E21" s="21">
        <v>7.1099999999999997E-2</v>
      </c>
      <c r="F21" s="20">
        <v>7.0000000000000007E-2</v>
      </c>
      <c r="G21" s="20">
        <v>7.0000000000000007E-2</v>
      </c>
      <c r="H21" s="20">
        <v>7.0000000000000007E-2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11">
        <f t="shared" si="0"/>
        <v>7.0628571428571429E-2</v>
      </c>
    </row>
    <row r="22" spans="1:43" x14ac:dyDescent="0.3">
      <c r="A22" s="4">
        <v>44866</v>
      </c>
      <c r="B22" s="21">
        <v>7.1099999999999997E-2</v>
      </c>
      <c r="C22" s="21">
        <v>7.1099999999999997E-2</v>
      </c>
      <c r="D22" s="21">
        <v>7.1099999999999997E-2</v>
      </c>
      <c r="E22" s="21">
        <v>7.1099999999999997E-2</v>
      </c>
      <c r="F22" s="20">
        <v>7.0000000000000007E-2</v>
      </c>
      <c r="G22" s="20">
        <v>7.0000000000000007E-2</v>
      </c>
      <c r="H22" s="20">
        <v>7.0000000000000007E-2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11">
        <f t="shared" si="0"/>
        <v>7.0628571428571429E-2</v>
      </c>
    </row>
    <row r="23" spans="1:43" x14ac:dyDescent="0.3">
      <c r="A23" s="4">
        <v>44896</v>
      </c>
      <c r="B23" s="21">
        <v>7.1099999999999997E-2</v>
      </c>
      <c r="C23" s="21">
        <v>7.1099999999999997E-2</v>
      </c>
      <c r="D23" s="21">
        <v>7.1099999999999997E-2</v>
      </c>
      <c r="E23" s="21">
        <v>7.1099999999999997E-2</v>
      </c>
      <c r="F23" s="21">
        <v>7.1099999999999997E-2</v>
      </c>
      <c r="G23" s="21">
        <v>7.1099999999999997E-2</v>
      </c>
      <c r="H23" s="20">
        <v>7.0000000000000007E-2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11">
        <f t="shared" si="0"/>
        <v>7.0942857142857141E-2</v>
      </c>
    </row>
    <row r="24" spans="1:43" x14ac:dyDescent="0.3">
      <c r="A24" s="4">
        <v>44927</v>
      </c>
      <c r="B24" s="21">
        <v>7.1099999999999997E-2</v>
      </c>
      <c r="C24" s="21">
        <v>7.1099999999999997E-2</v>
      </c>
      <c r="D24" s="21">
        <v>7.1099999999999997E-2</v>
      </c>
      <c r="E24" s="21">
        <v>7.1099999999999997E-2</v>
      </c>
      <c r="F24" s="21">
        <v>7.1099999999999997E-2</v>
      </c>
      <c r="G24" s="21">
        <v>7.1099999999999997E-2</v>
      </c>
      <c r="H24" s="20">
        <v>7.0000000000000007E-2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11">
        <f t="shared" si="0"/>
        <v>7.0942857142857141E-2</v>
      </c>
    </row>
    <row r="25" spans="1:43" x14ac:dyDescent="0.3">
      <c r="A25" s="4">
        <v>44958</v>
      </c>
      <c r="B25" s="21">
        <v>7.1099999999999997E-2</v>
      </c>
      <c r="C25" s="21">
        <v>7.1099999999999997E-2</v>
      </c>
      <c r="D25" s="21">
        <v>7.1099999999999997E-2</v>
      </c>
      <c r="E25" s="21">
        <v>7.1099999999999997E-2</v>
      </c>
      <c r="F25" s="21">
        <v>7.1099999999999997E-2</v>
      </c>
      <c r="G25" s="21">
        <v>7.1099999999999997E-2</v>
      </c>
      <c r="H25" s="20">
        <v>7.0000000000000007E-2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11">
        <f t="shared" si="0"/>
        <v>7.0942857142857141E-2</v>
      </c>
    </row>
    <row r="26" spans="1:43" x14ac:dyDescent="0.3">
      <c r="A26" s="4">
        <v>44986</v>
      </c>
      <c r="B26" s="21">
        <v>7.1099999999999997E-2</v>
      </c>
      <c r="C26" s="21">
        <v>7.1099999999999997E-2</v>
      </c>
      <c r="D26" s="21">
        <v>7.1099999999999997E-2</v>
      </c>
      <c r="E26" s="21">
        <v>7.1099999999999997E-2</v>
      </c>
      <c r="F26" s="21">
        <v>7.1099999999999997E-2</v>
      </c>
      <c r="G26" s="21">
        <v>7.1099999999999997E-2</v>
      </c>
      <c r="H26" s="21">
        <v>7.1099999999999997E-2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11">
        <f t="shared" si="0"/>
        <v>7.1099999999999997E-2</v>
      </c>
    </row>
    <row r="27" spans="1:43" x14ac:dyDescent="0.3">
      <c r="A27" s="4">
        <v>45017</v>
      </c>
      <c r="B27" s="22">
        <v>7.2099999999999997E-2</v>
      </c>
      <c r="C27" s="22">
        <v>7.2099999999999997E-2</v>
      </c>
      <c r="D27" s="22">
        <v>7.2099999999999997E-2</v>
      </c>
      <c r="E27" s="21">
        <v>7.1099999999999997E-2</v>
      </c>
      <c r="F27" s="21">
        <v>7.1099999999999997E-2</v>
      </c>
      <c r="G27" s="21">
        <v>7.1099999999999997E-2</v>
      </c>
      <c r="H27" s="21">
        <v>7.1099999999999997E-2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11">
        <f t="shared" si="0"/>
        <v>7.1528571428571414E-2</v>
      </c>
    </row>
    <row r="28" spans="1:43" x14ac:dyDescent="0.3">
      <c r="A28" s="4">
        <v>45047</v>
      </c>
      <c r="B28" s="22">
        <v>7.2099999999999997E-2</v>
      </c>
      <c r="C28" s="22">
        <v>7.2099999999999997E-2</v>
      </c>
      <c r="D28" s="22">
        <v>7.2099999999999997E-2</v>
      </c>
      <c r="E28" s="21">
        <v>7.1099999999999997E-2</v>
      </c>
      <c r="F28" s="21">
        <v>7.1099999999999997E-2</v>
      </c>
      <c r="G28" s="21">
        <v>7.1099999999999997E-2</v>
      </c>
      <c r="H28" s="21">
        <v>7.1099999999999997E-2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11">
        <f t="shared" si="0"/>
        <v>7.1528571428571414E-2</v>
      </c>
    </row>
    <row r="29" spans="1:43" x14ac:dyDescent="0.3">
      <c r="A29" s="4">
        <v>45078</v>
      </c>
      <c r="B29" s="22">
        <v>7.2099999999999997E-2</v>
      </c>
      <c r="C29" s="22">
        <v>7.2099999999999997E-2</v>
      </c>
      <c r="D29" s="22">
        <v>7.2099999999999997E-2</v>
      </c>
      <c r="E29" s="21">
        <v>7.1099999999999997E-2</v>
      </c>
      <c r="F29" s="21">
        <v>7.1099999999999997E-2</v>
      </c>
      <c r="G29" s="21">
        <v>7.1099999999999997E-2</v>
      </c>
      <c r="H29" s="21">
        <v>7.1099999999999997E-2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11">
        <f t="shared" si="0"/>
        <v>7.1528571428571414E-2</v>
      </c>
    </row>
    <row r="30" spans="1:43" x14ac:dyDescent="0.3">
      <c r="A30" s="4">
        <v>45108</v>
      </c>
      <c r="B30" s="22">
        <v>7.2099999999999997E-2</v>
      </c>
      <c r="C30" s="22">
        <v>7.2099999999999997E-2</v>
      </c>
      <c r="D30" s="22">
        <v>7.2099999999999997E-2</v>
      </c>
      <c r="E30" s="21">
        <v>7.1099999999999997E-2</v>
      </c>
      <c r="F30" s="21">
        <v>7.1099999999999997E-2</v>
      </c>
      <c r="G30" s="21">
        <v>7.1099999999999997E-2</v>
      </c>
      <c r="H30" s="21">
        <v>7.1099999999999997E-2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11">
        <f t="shared" si="0"/>
        <v>7.1528571428571414E-2</v>
      </c>
    </row>
    <row r="31" spans="1:43" x14ac:dyDescent="0.3">
      <c r="A31" s="4">
        <v>45139</v>
      </c>
      <c r="B31" s="22">
        <v>7.2099999999999997E-2</v>
      </c>
      <c r="C31" s="22">
        <v>7.2099999999999997E-2</v>
      </c>
      <c r="D31" s="22">
        <v>7.2099999999999997E-2</v>
      </c>
      <c r="E31" s="21">
        <v>7.1099999999999997E-2</v>
      </c>
      <c r="F31" s="21">
        <v>7.1099999999999997E-2</v>
      </c>
      <c r="G31" s="21">
        <v>7.1099999999999997E-2</v>
      </c>
      <c r="H31" s="21">
        <v>7.1099999999999997E-2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11">
        <f t="shared" si="0"/>
        <v>7.1528571428571414E-2</v>
      </c>
    </row>
    <row r="32" spans="1:43" x14ac:dyDescent="0.3">
      <c r="A32" s="4">
        <v>45170</v>
      </c>
      <c r="B32" s="22">
        <v>7.2099999999999997E-2</v>
      </c>
      <c r="C32" s="22">
        <v>7.2099999999999997E-2</v>
      </c>
      <c r="D32" s="22">
        <v>7.2099999999999997E-2</v>
      </c>
      <c r="E32" s="21">
        <v>7.1099999999999997E-2</v>
      </c>
      <c r="F32" s="21">
        <v>7.1099999999999997E-2</v>
      </c>
      <c r="G32" s="21">
        <v>7.1099999999999997E-2</v>
      </c>
      <c r="H32" s="21">
        <v>7.1099999999999997E-2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11">
        <f t="shared" si="0"/>
        <v>7.1528571428571414E-2</v>
      </c>
    </row>
    <row r="33" spans="1:43" x14ac:dyDescent="0.3">
      <c r="A33" s="4">
        <v>45200</v>
      </c>
      <c r="B33" s="22">
        <v>7.2099999999999997E-2</v>
      </c>
      <c r="C33" s="22">
        <v>7.2099999999999997E-2</v>
      </c>
      <c r="D33" s="22">
        <v>7.2099999999999997E-2</v>
      </c>
      <c r="E33" s="22">
        <v>7.2099999999999997E-2</v>
      </c>
      <c r="F33" s="21">
        <v>7.1099999999999997E-2</v>
      </c>
      <c r="G33" s="21">
        <v>7.1099999999999997E-2</v>
      </c>
      <c r="H33" s="21">
        <v>7.1099999999999997E-2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11">
        <f t="shared" si="0"/>
        <v>7.167142857142858E-2</v>
      </c>
    </row>
    <row r="34" spans="1:43" x14ac:dyDescent="0.3">
      <c r="A34" s="4">
        <v>45231</v>
      </c>
      <c r="B34" s="22">
        <v>7.2099999999999997E-2</v>
      </c>
      <c r="C34" s="22">
        <v>7.2099999999999997E-2</v>
      </c>
      <c r="D34" s="22">
        <v>7.2099999999999997E-2</v>
      </c>
      <c r="E34" s="22">
        <v>7.2099999999999997E-2</v>
      </c>
      <c r="F34" s="21">
        <v>7.1099999999999997E-2</v>
      </c>
      <c r="G34" s="21">
        <v>7.1099999999999997E-2</v>
      </c>
      <c r="H34" s="21">
        <v>7.1099999999999997E-2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11">
        <f t="shared" si="0"/>
        <v>7.167142857142858E-2</v>
      </c>
    </row>
    <row r="35" spans="1:43" x14ac:dyDescent="0.3">
      <c r="A35" s="4">
        <v>45261</v>
      </c>
      <c r="B35" s="22">
        <v>7.2099999999999997E-2</v>
      </c>
      <c r="C35" s="22">
        <v>7.2099999999999997E-2</v>
      </c>
      <c r="D35" s="22">
        <v>7.2099999999999997E-2</v>
      </c>
      <c r="E35" s="22">
        <v>7.2099999999999997E-2</v>
      </c>
      <c r="F35" s="22">
        <v>7.2099999999999997E-2</v>
      </c>
      <c r="G35" s="22">
        <v>7.2099999999999997E-2</v>
      </c>
      <c r="H35" s="21">
        <v>7.1099999999999997E-2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11">
        <f t="shared" si="0"/>
        <v>7.1957142857142858E-2</v>
      </c>
    </row>
    <row r="36" spans="1:43" x14ac:dyDescent="0.3">
      <c r="A36" s="4">
        <v>45292</v>
      </c>
      <c r="B36" s="22">
        <v>7.2099999999999997E-2</v>
      </c>
      <c r="C36" s="22">
        <v>7.2099999999999997E-2</v>
      </c>
      <c r="D36" s="22">
        <v>7.2099999999999997E-2</v>
      </c>
      <c r="E36" s="22">
        <v>7.2099999999999997E-2</v>
      </c>
      <c r="F36" s="22">
        <v>7.2099999999999997E-2</v>
      </c>
      <c r="G36" s="22">
        <v>7.2099999999999997E-2</v>
      </c>
      <c r="H36" s="21">
        <v>7.1099999999999997E-2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11">
        <f t="shared" si="0"/>
        <v>7.1957142857142858E-2</v>
      </c>
    </row>
    <row r="37" spans="1:43" x14ac:dyDescent="0.3">
      <c r="A37" s="4">
        <v>45323</v>
      </c>
      <c r="B37" s="22">
        <v>7.2099999999999997E-2</v>
      </c>
      <c r="C37" s="22">
        <v>7.2099999999999997E-2</v>
      </c>
      <c r="D37" s="22">
        <v>7.2099999999999997E-2</v>
      </c>
      <c r="E37" s="22">
        <v>7.2099999999999997E-2</v>
      </c>
      <c r="F37" s="22">
        <v>7.2099999999999997E-2</v>
      </c>
      <c r="G37" s="22">
        <v>7.2099999999999997E-2</v>
      </c>
      <c r="H37" s="21">
        <v>7.1099999999999997E-2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11">
        <f t="shared" si="0"/>
        <v>7.1957142857142858E-2</v>
      </c>
    </row>
    <row r="38" spans="1:43" x14ac:dyDescent="0.3">
      <c r="A38" s="4">
        <v>45352</v>
      </c>
      <c r="B38" s="22">
        <v>7.2099999999999997E-2</v>
      </c>
      <c r="C38" s="22">
        <v>7.2099999999999997E-2</v>
      </c>
      <c r="D38" s="22">
        <v>7.2099999999999997E-2</v>
      </c>
      <c r="E38" s="22">
        <v>7.2099999999999997E-2</v>
      </c>
      <c r="F38" s="22">
        <v>7.2099999999999997E-2</v>
      </c>
      <c r="G38" s="22">
        <v>7.2099999999999997E-2</v>
      </c>
      <c r="H38" s="22">
        <v>7.2099999999999997E-2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11">
        <f t="shared" si="0"/>
        <v>7.2099999999999984E-2</v>
      </c>
    </row>
    <row r="39" spans="1:43" x14ac:dyDescent="0.3">
      <c r="A39" s="4">
        <v>45383</v>
      </c>
      <c r="B39" s="23">
        <v>7.3200000000000001E-2</v>
      </c>
      <c r="C39" s="23">
        <v>7.3200000000000001E-2</v>
      </c>
      <c r="D39" s="23">
        <v>7.3200000000000001E-2</v>
      </c>
      <c r="E39" s="22">
        <v>7.2099999999999997E-2</v>
      </c>
      <c r="F39" s="22">
        <v>7.2099999999999997E-2</v>
      </c>
      <c r="G39" s="22">
        <v>7.2099999999999997E-2</v>
      </c>
      <c r="H39" s="22">
        <v>7.2099999999999997E-2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11">
        <f t="shared" si="0"/>
        <v>7.2571428571428578E-2</v>
      </c>
    </row>
    <row r="40" spans="1:43" x14ac:dyDescent="0.3">
      <c r="A40" s="4">
        <v>45413</v>
      </c>
      <c r="B40" s="23">
        <v>7.3200000000000001E-2</v>
      </c>
      <c r="C40" s="23">
        <v>7.3200000000000001E-2</v>
      </c>
      <c r="D40" s="23">
        <v>7.3200000000000001E-2</v>
      </c>
      <c r="E40" s="22">
        <v>7.2099999999999997E-2</v>
      </c>
      <c r="F40" s="22">
        <v>7.2099999999999997E-2</v>
      </c>
      <c r="G40" s="22">
        <v>7.2099999999999997E-2</v>
      </c>
      <c r="H40" s="22">
        <v>7.2099999999999997E-2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11">
        <f t="shared" si="0"/>
        <v>7.2571428571428578E-2</v>
      </c>
    </row>
    <row r="41" spans="1:43" x14ac:dyDescent="0.3">
      <c r="A41" s="4">
        <v>45444</v>
      </c>
      <c r="B41" s="23">
        <v>7.3200000000000001E-2</v>
      </c>
      <c r="C41" s="23">
        <v>7.3200000000000001E-2</v>
      </c>
      <c r="D41" s="23">
        <v>7.3200000000000001E-2</v>
      </c>
      <c r="E41" s="22">
        <v>7.2099999999999997E-2</v>
      </c>
      <c r="F41" s="22">
        <v>7.2099999999999997E-2</v>
      </c>
      <c r="G41" s="22">
        <v>7.2099999999999997E-2</v>
      </c>
      <c r="H41" s="22">
        <v>7.2099999999999997E-2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11">
        <f t="shared" si="0"/>
        <v>7.2571428571428578E-2</v>
      </c>
    </row>
    <row r="42" spans="1:43" x14ac:dyDescent="0.3">
      <c r="A42" s="4">
        <v>45474</v>
      </c>
      <c r="B42" s="23">
        <v>7.3200000000000001E-2</v>
      </c>
      <c r="C42" s="23">
        <v>7.3200000000000001E-2</v>
      </c>
      <c r="D42" s="23">
        <v>7.3200000000000001E-2</v>
      </c>
      <c r="E42" s="22">
        <v>7.2099999999999997E-2</v>
      </c>
      <c r="F42" s="22">
        <v>7.2099999999999997E-2</v>
      </c>
      <c r="G42" s="22">
        <v>7.2099999999999997E-2</v>
      </c>
      <c r="H42" s="22">
        <v>7.2099999999999997E-2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11">
        <f t="shared" si="0"/>
        <v>7.2571428571428578E-2</v>
      </c>
    </row>
    <row r="43" spans="1:43" x14ac:dyDescent="0.3">
      <c r="A43" s="4">
        <v>45505</v>
      </c>
      <c r="B43" s="23">
        <v>7.3200000000000001E-2</v>
      </c>
      <c r="C43" s="23">
        <v>7.3200000000000001E-2</v>
      </c>
      <c r="D43" s="23">
        <v>7.3200000000000001E-2</v>
      </c>
      <c r="E43" s="22">
        <v>7.2099999999999997E-2</v>
      </c>
      <c r="F43" s="22">
        <v>7.2099999999999997E-2</v>
      </c>
      <c r="G43" s="22">
        <v>7.2099999999999997E-2</v>
      </c>
      <c r="H43" s="22">
        <v>7.2099999999999997E-2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11">
        <f t="shared" si="0"/>
        <v>7.2571428571428578E-2</v>
      </c>
    </row>
    <row r="44" spans="1:43" x14ac:dyDescent="0.3">
      <c r="A44" s="4">
        <v>45536</v>
      </c>
      <c r="B44" s="23">
        <v>7.3200000000000001E-2</v>
      </c>
      <c r="C44" s="23">
        <v>7.3200000000000001E-2</v>
      </c>
      <c r="D44" s="23">
        <v>7.3200000000000001E-2</v>
      </c>
      <c r="E44" s="22">
        <v>7.2099999999999997E-2</v>
      </c>
      <c r="F44" s="22">
        <v>7.2099999999999997E-2</v>
      </c>
      <c r="G44" s="22">
        <v>7.2099999999999997E-2</v>
      </c>
      <c r="H44" s="22">
        <v>7.2099999999999997E-2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11">
        <f t="shared" si="0"/>
        <v>7.2571428571428578E-2</v>
      </c>
    </row>
    <row r="45" spans="1:43" x14ac:dyDescent="0.3">
      <c r="A45" s="4">
        <v>45566</v>
      </c>
      <c r="B45" s="23">
        <v>7.3200000000000001E-2</v>
      </c>
      <c r="C45" s="23">
        <v>7.3200000000000001E-2</v>
      </c>
      <c r="D45" s="23">
        <v>7.3200000000000001E-2</v>
      </c>
      <c r="E45" s="23">
        <v>7.3200000000000001E-2</v>
      </c>
      <c r="F45" s="22">
        <v>7.2099999999999997E-2</v>
      </c>
      <c r="G45" s="22">
        <v>7.2099999999999997E-2</v>
      </c>
      <c r="H45" s="22">
        <v>7.2099999999999997E-2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11">
        <f>AVERAGE(B45:AP45)</f>
        <v>7.2728571428571434E-2</v>
      </c>
    </row>
    <row r="46" spans="1:43" x14ac:dyDescent="0.3">
      <c r="A46" s="4">
        <v>45597</v>
      </c>
      <c r="B46" s="23">
        <v>7.3200000000000001E-2</v>
      </c>
      <c r="C46" s="23">
        <v>7.3200000000000001E-2</v>
      </c>
      <c r="D46" s="23">
        <v>7.3200000000000001E-2</v>
      </c>
      <c r="E46" s="23">
        <v>7.3200000000000001E-2</v>
      </c>
      <c r="F46" s="22">
        <v>7.2099999999999997E-2</v>
      </c>
      <c r="G46" s="22">
        <v>7.2099999999999997E-2</v>
      </c>
      <c r="H46" s="22">
        <v>7.2099999999999997E-2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11">
        <f t="shared" si="0"/>
        <v>7.2728571428571434E-2</v>
      </c>
    </row>
    <row r="47" spans="1:43" x14ac:dyDescent="0.3">
      <c r="A47" s="4">
        <v>45627</v>
      </c>
      <c r="B47" s="23">
        <v>7.3200000000000001E-2</v>
      </c>
      <c r="C47" s="23">
        <v>7.3200000000000001E-2</v>
      </c>
      <c r="D47" s="23">
        <v>7.3200000000000001E-2</v>
      </c>
      <c r="E47" s="23">
        <v>7.3200000000000001E-2</v>
      </c>
      <c r="F47" s="23">
        <v>7.3200000000000001E-2</v>
      </c>
      <c r="G47" s="23">
        <v>7.3200000000000001E-2</v>
      </c>
      <c r="H47" s="22">
        <v>7.2099999999999997E-2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11">
        <f t="shared" si="0"/>
        <v>7.3042857142857145E-2</v>
      </c>
    </row>
    <row r="48" spans="1:43" x14ac:dyDescent="0.3">
      <c r="A48" s="4">
        <v>45658</v>
      </c>
      <c r="B48" s="23">
        <v>7.3200000000000001E-2</v>
      </c>
      <c r="C48" s="23">
        <v>7.3200000000000001E-2</v>
      </c>
      <c r="D48" s="23">
        <v>7.3200000000000001E-2</v>
      </c>
      <c r="E48" s="23">
        <v>7.3200000000000001E-2</v>
      </c>
      <c r="F48" s="23">
        <v>7.3200000000000001E-2</v>
      </c>
      <c r="G48" s="23">
        <v>7.3200000000000001E-2</v>
      </c>
      <c r="H48" s="22">
        <v>7.2099999999999997E-2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11">
        <f t="shared" si="0"/>
        <v>7.3042857142857145E-2</v>
      </c>
    </row>
    <row r="49" spans="1:43" x14ac:dyDescent="0.3">
      <c r="A49" s="4">
        <v>45689</v>
      </c>
      <c r="B49" s="23">
        <v>7.3200000000000001E-2</v>
      </c>
      <c r="C49" s="23">
        <v>7.3200000000000001E-2</v>
      </c>
      <c r="D49" s="23">
        <v>7.3200000000000001E-2</v>
      </c>
      <c r="E49" s="30">
        <v>7.3200000000000001E-2</v>
      </c>
      <c r="F49" s="30">
        <v>7.3200000000000001E-2</v>
      </c>
      <c r="G49" s="30">
        <v>7.3200000000000001E-2</v>
      </c>
      <c r="H49" s="22">
        <v>7.2099999999999997E-2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11">
        <f t="shared" si="0"/>
        <v>7.3042857142857145E-2</v>
      </c>
    </row>
    <row r="50" spans="1:43" x14ac:dyDescent="0.3">
      <c r="A50" s="4">
        <v>45717</v>
      </c>
      <c r="B50" s="23">
        <v>7.3200000000000001E-2</v>
      </c>
      <c r="C50" s="23">
        <v>7.3200000000000001E-2</v>
      </c>
      <c r="D50" s="23">
        <v>7.3200000000000001E-2</v>
      </c>
      <c r="E50" s="30">
        <v>7.3200000000000001E-2</v>
      </c>
      <c r="F50" s="30">
        <v>7.3200000000000001E-2</v>
      </c>
      <c r="G50" s="30">
        <v>7.3200000000000001E-2</v>
      </c>
      <c r="H50" s="30">
        <v>7.3200000000000001E-2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11">
        <f t="shared" si="0"/>
        <v>7.3200000000000001E-2</v>
      </c>
    </row>
    <row r="51" spans="1:43" x14ac:dyDescent="0.3">
      <c r="A51" s="4">
        <v>45748</v>
      </c>
      <c r="B51" s="31">
        <v>7.4300000000000005E-2</v>
      </c>
      <c r="C51" s="31">
        <v>7.4300000000000005E-2</v>
      </c>
      <c r="D51" s="31">
        <v>7.4300000000000005E-2</v>
      </c>
      <c r="E51" s="30">
        <v>7.3200000000000001E-2</v>
      </c>
      <c r="F51" s="30">
        <v>7.3200000000000001E-2</v>
      </c>
      <c r="G51" s="30">
        <v>7.3200000000000001E-2</v>
      </c>
      <c r="H51" s="30">
        <v>7.3200000000000001E-2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11">
        <f t="shared" si="0"/>
        <v>7.3671428571428582E-2</v>
      </c>
    </row>
    <row r="52" spans="1:43" x14ac:dyDescent="0.3">
      <c r="A52" s="4">
        <v>45778</v>
      </c>
      <c r="B52" s="31">
        <v>7.4300000000000005E-2</v>
      </c>
      <c r="C52" s="31">
        <v>7.4300000000000005E-2</v>
      </c>
      <c r="D52" s="31">
        <v>7.4300000000000005E-2</v>
      </c>
      <c r="E52" s="30">
        <v>7.3200000000000001E-2</v>
      </c>
      <c r="F52" s="30">
        <v>7.3200000000000001E-2</v>
      </c>
      <c r="G52" s="30">
        <v>7.3200000000000001E-2</v>
      </c>
      <c r="H52" s="30">
        <v>7.3200000000000001E-2</v>
      </c>
      <c r="I52" s="22">
        <v>0.115</v>
      </c>
      <c r="J52" s="22">
        <v>0.115</v>
      </c>
      <c r="K52" s="22">
        <v>0.115</v>
      </c>
      <c r="L52" s="22">
        <v>0.115</v>
      </c>
      <c r="M52" s="22">
        <v>0.115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11">
        <f t="shared" si="0"/>
        <v>9.0891666666666662E-2</v>
      </c>
    </row>
    <row r="53" spans="1:43" x14ac:dyDescent="0.3">
      <c r="A53" s="4">
        <v>45809</v>
      </c>
      <c r="B53" s="31">
        <v>7.4300000000000005E-2</v>
      </c>
      <c r="C53" s="31">
        <v>7.4300000000000005E-2</v>
      </c>
      <c r="D53" s="31">
        <v>7.4300000000000005E-2</v>
      </c>
      <c r="E53" s="30">
        <v>7.3200000000000001E-2</v>
      </c>
      <c r="F53" s="30">
        <v>7.3200000000000001E-2</v>
      </c>
      <c r="G53" s="30">
        <v>7.3200000000000001E-2</v>
      </c>
      <c r="H53" s="30">
        <v>7.3200000000000001E-2</v>
      </c>
      <c r="I53" s="22">
        <v>0.115</v>
      </c>
      <c r="J53" s="22">
        <v>0.115</v>
      </c>
      <c r="K53" s="22">
        <v>0.115</v>
      </c>
      <c r="L53" s="22">
        <v>0.115</v>
      </c>
      <c r="M53" s="22">
        <v>0.115</v>
      </c>
      <c r="N53" s="22">
        <v>0.115</v>
      </c>
      <c r="O53" s="22">
        <v>0.115</v>
      </c>
      <c r="P53" s="5"/>
      <c r="Q53" s="22">
        <v>0.115</v>
      </c>
      <c r="R53" s="5"/>
      <c r="S53" s="5"/>
      <c r="T53" s="5"/>
      <c r="U53" s="5"/>
      <c r="V53" s="5"/>
      <c r="W53" s="5"/>
      <c r="X53" s="5"/>
      <c r="Y53" s="44"/>
      <c r="Z53" s="5"/>
      <c r="AA53" s="44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11">
        <f t="shared" si="0"/>
        <v>9.5713333333333331E-2</v>
      </c>
    </row>
    <row r="54" spans="1:43" x14ac:dyDescent="0.3">
      <c r="A54" s="4">
        <v>45839</v>
      </c>
      <c r="B54" s="31">
        <v>7.4300000000000005E-2</v>
      </c>
      <c r="C54" s="31">
        <v>7.4300000000000005E-2</v>
      </c>
      <c r="D54" s="31">
        <v>7.4300000000000005E-2</v>
      </c>
      <c r="E54" s="30">
        <v>7.3200000000000001E-2</v>
      </c>
      <c r="F54" s="30">
        <v>7.3200000000000001E-2</v>
      </c>
      <c r="G54" s="30">
        <v>7.3200000000000001E-2</v>
      </c>
      <c r="H54" s="30">
        <v>7.3200000000000001E-2</v>
      </c>
      <c r="I54" s="22">
        <v>0.115</v>
      </c>
      <c r="J54" s="22">
        <v>0.115</v>
      </c>
      <c r="K54" s="22">
        <v>0.115</v>
      </c>
      <c r="L54" s="22">
        <v>0.115</v>
      </c>
      <c r="M54" s="22">
        <v>0.115</v>
      </c>
      <c r="N54" s="22">
        <v>0.115</v>
      </c>
      <c r="O54" s="22">
        <v>0.115</v>
      </c>
      <c r="P54" s="5"/>
      <c r="Q54" s="22">
        <v>0.115</v>
      </c>
      <c r="R54" s="5"/>
      <c r="S54" s="5"/>
      <c r="T54" s="22">
        <v>0.115</v>
      </c>
      <c r="U54" s="5"/>
      <c r="V54" s="5"/>
      <c r="W54" s="5"/>
      <c r="X54" s="22">
        <v>0.115</v>
      </c>
      <c r="Y54" s="22">
        <v>0.115</v>
      </c>
      <c r="Z54" s="5"/>
      <c r="AA54" s="22">
        <v>0.115</v>
      </c>
      <c r="AB54" s="22">
        <v>0.115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11">
        <f t="shared" si="0"/>
        <v>0.100535</v>
      </c>
    </row>
    <row r="55" spans="1:43" x14ac:dyDescent="0.3">
      <c r="A55" s="4">
        <v>45870</v>
      </c>
      <c r="B55" s="31">
        <v>7.4300000000000005E-2</v>
      </c>
      <c r="C55" s="31">
        <v>7.4300000000000005E-2</v>
      </c>
      <c r="D55" s="31">
        <v>7.4300000000000005E-2</v>
      </c>
      <c r="E55" s="30">
        <v>7.3200000000000001E-2</v>
      </c>
      <c r="F55" s="30">
        <v>7.3200000000000001E-2</v>
      </c>
      <c r="G55" s="30">
        <v>7.3200000000000001E-2</v>
      </c>
      <c r="H55" s="30">
        <v>7.3200000000000001E-2</v>
      </c>
      <c r="I55" s="22">
        <v>0.115</v>
      </c>
      <c r="J55" s="22">
        <v>0.115</v>
      </c>
      <c r="K55" s="22">
        <v>0.115</v>
      </c>
      <c r="L55" s="22">
        <v>0.115</v>
      </c>
      <c r="M55" s="22">
        <v>0.115</v>
      </c>
      <c r="N55" s="22">
        <v>0.115</v>
      </c>
      <c r="O55" s="22">
        <v>0.115</v>
      </c>
      <c r="P55" s="5"/>
      <c r="Q55" s="22">
        <v>0.115</v>
      </c>
      <c r="R55" s="5"/>
      <c r="S55" s="22">
        <v>0.115</v>
      </c>
      <c r="T55" s="22">
        <v>0.115</v>
      </c>
      <c r="U55" s="5"/>
      <c r="V55" s="5"/>
      <c r="W55" s="5"/>
      <c r="X55" s="22">
        <v>0.115</v>
      </c>
      <c r="Y55" s="22">
        <v>0.115</v>
      </c>
      <c r="Z55" s="22">
        <v>0.115</v>
      </c>
      <c r="AA55" s="22">
        <v>0.115</v>
      </c>
      <c r="AB55" s="22">
        <v>0.115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11">
        <f t="shared" si="0"/>
        <v>0.10185000000000001</v>
      </c>
    </row>
    <row r="56" spans="1:43" x14ac:dyDescent="0.3">
      <c r="A56" s="4">
        <v>45901</v>
      </c>
      <c r="B56" s="31">
        <v>7.4300000000000005E-2</v>
      </c>
      <c r="C56" s="31">
        <v>7.4300000000000005E-2</v>
      </c>
      <c r="D56" s="31">
        <v>7.4300000000000005E-2</v>
      </c>
      <c r="E56" s="30">
        <v>7.3200000000000001E-2</v>
      </c>
      <c r="F56" s="30">
        <v>7.3200000000000001E-2</v>
      </c>
      <c r="G56" s="30">
        <v>7.3200000000000001E-2</v>
      </c>
      <c r="H56" s="30">
        <v>7.3200000000000001E-2</v>
      </c>
      <c r="I56" s="22">
        <v>0.115</v>
      </c>
      <c r="J56" s="22">
        <v>0.115</v>
      </c>
      <c r="K56" s="22">
        <v>0.115</v>
      </c>
      <c r="L56" s="22">
        <v>0.115</v>
      </c>
      <c r="M56" s="22">
        <v>0.115</v>
      </c>
      <c r="N56" s="22">
        <v>0.115</v>
      </c>
      <c r="O56" s="22">
        <v>0.115</v>
      </c>
      <c r="P56" s="5"/>
      <c r="Q56" s="22">
        <v>0.115</v>
      </c>
      <c r="R56" s="22">
        <v>0.115</v>
      </c>
      <c r="S56" s="22">
        <v>0.115</v>
      </c>
      <c r="T56" s="22">
        <v>0.115</v>
      </c>
      <c r="U56" s="22">
        <v>0.115</v>
      </c>
      <c r="V56" s="22">
        <v>0.115</v>
      </c>
      <c r="W56" s="22">
        <v>0.115</v>
      </c>
      <c r="X56" s="22">
        <v>0.115</v>
      </c>
      <c r="Y56" s="22">
        <v>0.115</v>
      </c>
      <c r="Z56" s="22">
        <v>0.115</v>
      </c>
      <c r="AA56" s="22">
        <v>0.115</v>
      </c>
      <c r="AB56" s="22">
        <v>0.115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11">
        <f t="shared" si="0"/>
        <v>0.10387307692307697</v>
      </c>
    </row>
    <row r="57" spans="1:43" x14ac:dyDescent="0.3">
      <c r="A57" s="4">
        <v>45931</v>
      </c>
      <c r="B57" s="31">
        <v>7.4300000000000005E-2</v>
      </c>
      <c r="C57" s="31">
        <v>7.4300000000000005E-2</v>
      </c>
      <c r="D57" s="31">
        <v>7.4300000000000005E-2</v>
      </c>
      <c r="E57" s="31">
        <v>7.4300000000000005E-2</v>
      </c>
      <c r="F57" s="30">
        <v>7.3200000000000001E-2</v>
      </c>
      <c r="G57" s="30">
        <v>7.3200000000000001E-2</v>
      </c>
      <c r="H57" s="30">
        <v>7.3200000000000001E-2</v>
      </c>
      <c r="I57" s="22">
        <v>0.115</v>
      </c>
      <c r="J57" s="22">
        <v>0.115</v>
      </c>
      <c r="K57" s="22">
        <v>0.115</v>
      </c>
      <c r="L57" s="22">
        <v>0.115</v>
      </c>
      <c r="M57" s="22">
        <v>0.115</v>
      </c>
      <c r="N57" s="22">
        <v>0.115</v>
      </c>
      <c r="O57" s="22">
        <v>0.115</v>
      </c>
      <c r="P57" s="5"/>
      <c r="Q57" s="22">
        <v>0.115</v>
      </c>
      <c r="R57" s="22">
        <v>0.115</v>
      </c>
      <c r="S57" s="22">
        <v>0.115</v>
      </c>
      <c r="T57" s="22">
        <v>0.115</v>
      </c>
      <c r="U57" s="22">
        <v>0.115</v>
      </c>
      <c r="V57" s="22">
        <v>0.115</v>
      </c>
      <c r="W57" s="22">
        <v>0.115</v>
      </c>
      <c r="X57" s="22">
        <v>0.115</v>
      </c>
      <c r="Y57" s="22">
        <v>0.115</v>
      </c>
      <c r="Z57" s="22">
        <v>0.115</v>
      </c>
      <c r="AA57" s="22">
        <v>0.115</v>
      </c>
      <c r="AB57" s="22">
        <v>0.115</v>
      </c>
      <c r="AC57" s="5"/>
      <c r="AD57" s="22">
        <v>0.115</v>
      </c>
      <c r="AE57" s="22">
        <v>0.115</v>
      </c>
      <c r="AF57" s="5"/>
      <c r="AG57" s="5"/>
      <c r="AH57" s="5"/>
      <c r="AI57" s="22">
        <v>0.115</v>
      </c>
      <c r="AJ57" s="42"/>
      <c r="AK57" s="42"/>
      <c r="AL57" s="42"/>
      <c r="AM57" s="42"/>
      <c r="AN57" s="42"/>
      <c r="AO57" s="42"/>
      <c r="AP57" s="42"/>
      <c r="AQ57" s="11">
        <f t="shared" si="0"/>
        <v>0.10506206896551731</v>
      </c>
    </row>
    <row r="58" spans="1:43" x14ac:dyDescent="0.3">
      <c r="A58" s="4">
        <v>45962</v>
      </c>
      <c r="B58" s="31">
        <v>7.4300000000000005E-2</v>
      </c>
      <c r="C58" s="31">
        <v>7.4300000000000005E-2</v>
      </c>
      <c r="D58" s="31">
        <v>7.4300000000000005E-2</v>
      </c>
      <c r="E58" s="31">
        <v>7.4300000000000005E-2</v>
      </c>
      <c r="F58" s="30">
        <v>7.3200000000000001E-2</v>
      </c>
      <c r="G58" s="30">
        <v>7.3200000000000001E-2</v>
      </c>
      <c r="H58" s="30">
        <v>7.3200000000000001E-2</v>
      </c>
      <c r="I58" s="22">
        <v>0.115</v>
      </c>
      <c r="J58" s="22">
        <v>0.115</v>
      </c>
      <c r="K58" s="22">
        <v>0.115</v>
      </c>
      <c r="L58" s="22">
        <v>0.115</v>
      </c>
      <c r="M58" s="22">
        <v>0.115</v>
      </c>
      <c r="N58" s="22">
        <v>0.115</v>
      </c>
      <c r="O58" s="22">
        <v>0.115</v>
      </c>
      <c r="P58" s="5"/>
      <c r="Q58" s="22">
        <v>0.115</v>
      </c>
      <c r="R58" s="22">
        <v>0.115</v>
      </c>
      <c r="S58" s="22">
        <v>0.115</v>
      </c>
      <c r="T58" s="22">
        <v>0.115</v>
      </c>
      <c r="U58" s="22">
        <v>0.115</v>
      </c>
      <c r="V58" s="22">
        <v>0.115</v>
      </c>
      <c r="W58" s="22">
        <v>0.115</v>
      </c>
      <c r="X58" s="22">
        <v>0.115</v>
      </c>
      <c r="Y58" s="22">
        <v>0.115</v>
      </c>
      <c r="Z58" s="22">
        <v>0.115</v>
      </c>
      <c r="AA58" s="22">
        <v>0.115</v>
      </c>
      <c r="AB58" s="22">
        <v>0.115</v>
      </c>
      <c r="AC58" s="22">
        <v>0.115</v>
      </c>
      <c r="AD58" s="22">
        <v>0.115</v>
      </c>
      <c r="AE58" s="22">
        <v>0.115</v>
      </c>
      <c r="AF58" s="22">
        <v>0.115</v>
      </c>
      <c r="AG58" s="22">
        <v>0.115</v>
      </c>
      <c r="AH58" s="22">
        <v>0.115</v>
      </c>
      <c r="AI58" s="22">
        <v>0.115</v>
      </c>
      <c r="AJ58" s="5"/>
      <c r="AK58" s="5"/>
      <c r="AL58" s="5"/>
      <c r="AM58" s="5"/>
      <c r="AN58" s="5"/>
      <c r="AO58" s="5"/>
      <c r="AP58" s="5"/>
      <c r="AQ58" s="11">
        <f t="shared" si="0"/>
        <v>0.10626666666666675</v>
      </c>
    </row>
    <row r="59" spans="1:43" x14ac:dyDescent="0.3">
      <c r="A59" s="4">
        <v>45992</v>
      </c>
      <c r="B59" s="31">
        <v>7.4300000000000005E-2</v>
      </c>
      <c r="C59" s="31">
        <v>7.4300000000000005E-2</v>
      </c>
      <c r="D59" s="31">
        <v>7.4300000000000005E-2</v>
      </c>
      <c r="E59" s="31">
        <v>7.4300000000000005E-2</v>
      </c>
      <c r="F59" s="31">
        <v>7.4300000000000005E-2</v>
      </c>
      <c r="G59" s="31">
        <v>7.4300000000000005E-2</v>
      </c>
      <c r="H59" s="30">
        <v>7.3200000000000001E-2</v>
      </c>
      <c r="I59" s="22">
        <v>0.115</v>
      </c>
      <c r="J59" s="22">
        <v>0.115</v>
      </c>
      <c r="K59" s="22">
        <v>0.115</v>
      </c>
      <c r="L59" s="22">
        <v>0.115</v>
      </c>
      <c r="M59" s="22">
        <v>0.115</v>
      </c>
      <c r="N59" s="22">
        <v>0.115</v>
      </c>
      <c r="O59" s="22">
        <v>0.115</v>
      </c>
      <c r="P59" s="22">
        <v>0.115</v>
      </c>
      <c r="Q59" s="22">
        <v>0.115</v>
      </c>
      <c r="R59" s="22">
        <v>0.115</v>
      </c>
      <c r="S59" s="22">
        <v>0.115</v>
      </c>
      <c r="T59" s="22">
        <v>0.115</v>
      </c>
      <c r="U59" s="22">
        <v>0.115</v>
      </c>
      <c r="V59" s="22">
        <v>0.115</v>
      </c>
      <c r="W59" s="22">
        <v>0.115</v>
      </c>
      <c r="X59" s="22">
        <v>0.115</v>
      </c>
      <c r="Y59" s="22">
        <v>0.115</v>
      </c>
      <c r="Z59" s="22">
        <v>0.115</v>
      </c>
      <c r="AA59" s="22">
        <v>0.115</v>
      </c>
      <c r="AB59" s="22">
        <v>0.115</v>
      </c>
      <c r="AC59" s="22">
        <v>0.115</v>
      </c>
      <c r="AD59" s="22">
        <v>0.115</v>
      </c>
      <c r="AE59" s="22">
        <v>0.115</v>
      </c>
      <c r="AF59" s="22">
        <v>0.115</v>
      </c>
      <c r="AG59" s="22">
        <v>0.115</v>
      </c>
      <c r="AH59" s="22">
        <v>0.115</v>
      </c>
      <c r="AI59" s="22">
        <v>0.115</v>
      </c>
      <c r="AJ59" s="22">
        <v>0.115</v>
      </c>
      <c r="AK59" s="5"/>
      <c r="AL59" s="5"/>
      <c r="AM59" s="5"/>
      <c r="AN59" s="5"/>
      <c r="AO59" s="5"/>
      <c r="AP59" s="5"/>
      <c r="AQ59" s="11">
        <f t="shared" si="0"/>
        <v>0.10682857142857152</v>
      </c>
    </row>
    <row r="60" spans="1:43" x14ac:dyDescent="0.3">
      <c r="A60" s="4">
        <v>46023</v>
      </c>
      <c r="B60" s="31">
        <v>7.4300000000000005E-2</v>
      </c>
      <c r="C60" s="31">
        <v>7.4300000000000005E-2</v>
      </c>
      <c r="D60" s="31">
        <v>7.4300000000000005E-2</v>
      </c>
      <c r="E60" s="31">
        <v>7.4300000000000005E-2</v>
      </c>
      <c r="F60" s="31">
        <v>7.4300000000000005E-2</v>
      </c>
      <c r="G60" s="31">
        <v>7.4300000000000005E-2</v>
      </c>
      <c r="H60" s="30">
        <v>7.3200000000000001E-2</v>
      </c>
      <c r="I60" s="22">
        <v>0.115</v>
      </c>
      <c r="J60" s="22">
        <v>0.115</v>
      </c>
      <c r="K60" s="22">
        <v>0.115</v>
      </c>
      <c r="L60" s="22">
        <v>0.115</v>
      </c>
      <c r="M60" s="22">
        <v>0.115</v>
      </c>
      <c r="N60" s="22">
        <v>0.115</v>
      </c>
      <c r="O60" s="22">
        <v>0.115</v>
      </c>
      <c r="P60" s="22">
        <v>0.115</v>
      </c>
      <c r="Q60" s="22">
        <v>0.115</v>
      </c>
      <c r="R60" s="22">
        <v>0.115</v>
      </c>
      <c r="S60" s="22">
        <v>0.115</v>
      </c>
      <c r="T60" s="22">
        <v>0.115</v>
      </c>
      <c r="U60" s="22">
        <v>0.115</v>
      </c>
      <c r="V60" s="22">
        <v>0.115</v>
      </c>
      <c r="W60" s="22">
        <v>0.115</v>
      </c>
      <c r="X60" s="22">
        <v>0.115</v>
      </c>
      <c r="Y60" s="22">
        <v>0.115</v>
      </c>
      <c r="Z60" s="22">
        <v>0.115</v>
      </c>
      <c r="AA60" s="22">
        <v>0.115</v>
      </c>
      <c r="AB60" s="22">
        <v>0.115</v>
      </c>
      <c r="AC60" s="22">
        <v>0.115</v>
      </c>
      <c r="AD60" s="22">
        <v>0.115</v>
      </c>
      <c r="AE60" s="22">
        <v>0.115</v>
      </c>
      <c r="AF60" s="22">
        <v>0.115</v>
      </c>
      <c r="AG60" s="22">
        <v>0.115</v>
      </c>
      <c r="AH60" s="22">
        <v>0.115</v>
      </c>
      <c r="AI60" s="22">
        <v>0.115</v>
      </c>
      <c r="AJ60" s="22">
        <v>0.115</v>
      </c>
      <c r="AK60" s="22">
        <v>0.115</v>
      </c>
      <c r="AL60" s="22">
        <v>0.115</v>
      </c>
      <c r="AM60" s="5"/>
      <c r="AN60" s="5"/>
      <c r="AO60" s="5"/>
      <c r="AP60" s="5"/>
      <c r="AQ60" s="11">
        <f t="shared" si="0"/>
        <v>0.10727027027027038</v>
      </c>
    </row>
    <row r="61" spans="1:43" x14ac:dyDescent="0.3">
      <c r="A61" s="4">
        <v>46054</v>
      </c>
      <c r="B61" s="31">
        <v>7.4300000000000005E-2</v>
      </c>
      <c r="C61" s="31">
        <v>7.4300000000000005E-2</v>
      </c>
      <c r="D61" s="31">
        <v>7.4300000000000005E-2</v>
      </c>
      <c r="E61" s="31">
        <v>7.4300000000000005E-2</v>
      </c>
      <c r="F61" s="31">
        <v>7.4300000000000005E-2</v>
      </c>
      <c r="G61" s="31">
        <v>7.4300000000000005E-2</v>
      </c>
      <c r="H61" s="30">
        <v>7.3200000000000001E-2</v>
      </c>
      <c r="I61" s="22">
        <v>0.115</v>
      </c>
      <c r="J61" s="22">
        <v>0.115</v>
      </c>
      <c r="K61" s="22">
        <v>0.115</v>
      </c>
      <c r="L61" s="22">
        <v>0.115</v>
      </c>
      <c r="M61" s="22">
        <v>0.115</v>
      </c>
      <c r="N61" s="22">
        <v>0.115</v>
      </c>
      <c r="O61" s="22">
        <v>0.115</v>
      </c>
      <c r="P61" s="22">
        <v>0.115</v>
      </c>
      <c r="Q61" s="22">
        <v>0.115</v>
      </c>
      <c r="R61" s="22">
        <v>0.115</v>
      </c>
      <c r="S61" s="22">
        <v>0.115</v>
      </c>
      <c r="T61" s="22">
        <v>0.115</v>
      </c>
      <c r="U61" s="22">
        <v>0.115</v>
      </c>
      <c r="V61" s="22">
        <v>0.115</v>
      </c>
      <c r="W61" s="22">
        <v>0.115</v>
      </c>
      <c r="X61" s="22">
        <v>0.115</v>
      </c>
      <c r="Y61" s="22">
        <v>0.115</v>
      </c>
      <c r="Z61" s="22">
        <v>0.115</v>
      </c>
      <c r="AA61" s="22">
        <v>0.115</v>
      </c>
      <c r="AB61" s="22">
        <v>0.115</v>
      </c>
      <c r="AC61" s="22">
        <v>0.115</v>
      </c>
      <c r="AD61" s="22">
        <v>0.115</v>
      </c>
      <c r="AE61" s="22">
        <v>0.115</v>
      </c>
      <c r="AF61" s="22">
        <v>0.115</v>
      </c>
      <c r="AG61" s="22">
        <v>0.115</v>
      </c>
      <c r="AH61" s="22">
        <v>0.115</v>
      </c>
      <c r="AI61" s="22">
        <v>0.115</v>
      </c>
      <c r="AJ61" s="22">
        <v>0.115</v>
      </c>
      <c r="AK61" s="22">
        <v>0.115</v>
      </c>
      <c r="AL61" s="22">
        <v>0.115</v>
      </c>
      <c r="AM61" s="5"/>
      <c r="AN61" s="22">
        <v>0.115</v>
      </c>
      <c r="AO61" s="5"/>
      <c r="AP61" s="5"/>
      <c r="AQ61" s="11">
        <f t="shared" si="0"/>
        <v>0.10747368421052643</v>
      </c>
    </row>
    <row r="62" spans="1:43" x14ac:dyDescent="0.3">
      <c r="A62" s="4">
        <v>46082</v>
      </c>
      <c r="B62" s="31">
        <v>7.4300000000000005E-2</v>
      </c>
      <c r="C62" s="31">
        <v>7.4300000000000005E-2</v>
      </c>
      <c r="D62" s="31">
        <v>7.4300000000000005E-2</v>
      </c>
      <c r="E62" s="31">
        <v>7.4300000000000005E-2</v>
      </c>
      <c r="F62" s="31">
        <v>7.4300000000000005E-2</v>
      </c>
      <c r="G62" s="31">
        <v>7.4300000000000005E-2</v>
      </c>
      <c r="H62" s="31">
        <v>7.4300000000000005E-2</v>
      </c>
      <c r="I62" s="22">
        <v>0.115</v>
      </c>
      <c r="J62" s="22">
        <v>0.115</v>
      </c>
      <c r="K62" s="22">
        <v>0.115</v>
      </c>
      <c r="L62" s="22">
        <v>0.115</v>
      </c>
      <c r="M62" s="22">
        <v>0.115</v>
      </c>
      <c r="N62" s="22">
        <v>0.115</v>
      </c>
      <c r="O62" s="22">
        <v>0.115</v>
      </c>
      <c r="P62" s="22">
        <v>0.115</v>
      </c>
      <c r="Q62" s="22">
        <v>0.115</v>
      </c>
      <c r="R62" s="22">
        <v>0.115</v>
      </c>
      <c r="S62" s="22">
        <v>0.115</v>
      </c>
      <c r="T62" s="22">
        <v>0.115</v>
      </c>
      <c r="U62" s="22">
        <v>0.115</v>
      </c>
      <c r="V62" s="22">
        <v>0.115</v>
      </c>
      <c r="W62" s="22">
        <v>0.115</v>
      </c>
      <c r="X62" s="22">
        <v>0.115</v>
      </c>
      <c r="Y62" s="22">
        <v>0.115</v>
      </c>
      <c r="Z62" s="22">
        <v>0.115</v>
      </c>
      <c r="AA62" s="22">
        <v>0.115</v>
      </c>
      <c r="AB62" s="22">
        <v>0.115</v>
      </c>
      <c r="AC62" s="22">
        <v>0.115</v>
      </c>
      <c r="AD62" s="22">
        <v>0.115</v>
      </c>
      <c r="AE62" s="22">
        <v>0.115</v>
      </c>
      <c r="AF62" s="22">
        <v>0.115</v>
      </c>
      <c r="AG62" s="22">
        <v>0.115</v>
      </c>
      <c r="AH62" s="22">
        <v>0.115</v>
      </c>
      <c r="AI62" s="22">
        <v>0.115</v>
      </c>
      <c r="AJ62" s="22">
        <v>0.115</v>
      </c>
      <c r="AK62" s="22">
        <v>0.115</v>
      </c>
      <c r="AL62" s="22">
        <v>0.115</v>
      </c>
      <c r="AM62" s="5"/>
      <c r="AN62" s="22">
        <v>0.115</v>
      </c>
      <c r="AO62" s="5"/>
      <c r="AP62" s="22">
        <v>0.115</v>
      </c>
      <c r="AQ62" s="11">
        <f t="shared" si="0"/>
        <v>0.1076948717948719</v>
      </c>
    </row>
    <row r="63" spans="1:43" x14ac:dyDescent="0.3">
      <c r="A63" s="4">
        <v>46113</v>
      </c>
      <c r="B63" s="41">
        <v>7.5399999999999995E-2</v>
      </c>
      <c r="C63" s="41">
        <v>7.5399999999999995E-2</v>
      </c>
      <c r="D63" s="41">
        <v>7.5399999999999995E-2</v>
      </c>
      <c r="E63" s="31">
        <v>7.4300000000000005E-2</v>
      </c>
      <c r="F63" s="31">
        <v>7.4300000000000005E-2</v>
      </c>
      <c r="G63" s="31">
        <v>7.4300000000000005E-2</v>
      </c>
      <c r="H63" s="31">
        <v>7.4300000000000005E-2</v>
      </c>
      <c r="I63" s="22">
        <v>0.115</v>
      </c>
      <c r="J63" s="22">
        <v>0.115</v>
      </c>
      <c r="K63" s="22">
        <v>0.115</v>
      </c>
      <c r="L63" s="22">
        <v>0.115</v>
      </c>
      <c r="M63" s="22">
        <v>0.115</v>
      </c>
      <c r="N63" s="22">
        <v>0.115</v>
      </c>
      <c r="O63" s="22">
        <v>0.115</v>
      </c>
      <c r="P63" s="22">
        <v>0.115</v>
      </c>
      <c r="Q63" s="22">
        <v>0.115</v>
      </c>
      <c r="R63" s="22">
        <v>0.115</v>
      </c>
      <c r="S63" s="22">
        <v>0.115</v>
      </c>
      <c r="T63" s="22">
        <v>0.115</v>
      </c>
      <c r="U63" s="22">
        <v>0.115</v>
      </c>
      <c r="V63" s="22">
        <v>0.115</v>
      </c>
      <c r="W63" s="22">
        <v>0.115</v>
      </c>
      <c r="X63" s="22">
        <v>0.115</v>
      </c>
      <c r="Y63" s="22">
        <v>0.115</v>
      </c>
      <c r="Z63" s="22">
        <v>0.115</v>
      </c>
      <c r="AA63" s="22">
        <v>0.115</v>
      </c>
      <c r="AB63" s="22">
        <v>0.115</v>
      </c>
      <c r="AC63" s="22">
        <v>0.115</v>
      </c>
      <c r="AD63" s="22">
        <v>0.115</v>
      </c>
      <c r="AE63" s="22">
        <v>0.115</v>
      </c>
      <c r="AF63" s="22">
        <v>0.115</v>
      </c>
      <c r="AG63" s="22">
        <v>0.115</v>
      </c>
      <c r="AH63" s="22">
        <v>0.115</v>
      </c>
      <c r="AI63" s="22">
        <v>0.115</v>
      </c>
      <c r="AJ63" s="22">
        <v>0.115</v>
      </c>
      <c r="AK63" s="22">
        <v>0.115</v>
      </c>
      <c r="AL63" s="22">
        <v>0.115</v>
      </c>
      <c r="AM63" s="5"/>
      <c r="AN63" s="22">
        <v>0.115</v>
      </c>
      <c r="AO63" s="22">
        <v>0.115</v>
      </c>
      <c r="AP63" s="22">
        <v>0.115</v>
      </c>
      <c r="AQ63" s="11">
        <f t="shared" si="0"/>
        <v>0.1079600000000001</v>
      </c>
    </row>
    <row r="64" spans="1:43" x14ac:dyDescent="0.3">
      <c r="A64" s="4">
        <v>46143</v>
      </c>
      <c r="B64" s="41">
        <v>7.5399999999999995E-2</v>
      </c>
      <c r="C64" s="41">
        <v>7.5399999999999995E-2</v>
      </c>
      <c r="D64" s="41">
        <v>7.5399999999999995E-2</v>
      </c>
      <c r="E64" s="31">
        <v>7.4300000000000005E-2</v>
      </c>
      <c r="F64" s="31">
        <v>7.4300000000000005E-2</v>
      </c>
      <c r="G64" s="31">
        <v>7.4300000000000005E-2</v>
      </c>
      <c r="H64" s="31">
        <v>7.4300000000000005E-2</v>
      </c>
      <c r="I64" s="40">
        <v>0.1173</v>
      </c>
      <c r="J64" s="40">
        <v>0.1173</v>
      </c>
      <c r="K64" s="40">
        <v>0.1173</v>
      </c>
      <c r="L64" s="40">
        <v>0.1173</v>
      </c>
      <c r="M64" s="40">
        <v>0.1173</v>
      </c>
      <c r="N64" s="22">
        <v>0.115</v>
      </c>
      <c r="O64" s="22">
        <v>0.115</v>
      </c>
      <c r="P64" s="22">
        <v>0.115</v>
      </c>
      <c r="Q64" s="22">
        <v>0.115</v>
      </c>
      <c r="R64" s="22">
        <v>0.115</v>
      </c>
      <c r="S64" s="22">
        <v>0.115</v>
      </c>
      <c r="T64" s="22">
        <v>0.115</v>
      </c>
      <c r="U64" s="22">
        <v>0.115</v>
      </c>
      <c r="V64" s="22">
        <v>0.115</v>
      </c>
      <c r="W64" s="22">
        <v>0.115</v>
      </c>
      <c r="X64" s="22">
        <v>0.115</v>
      </c>
      <c r="Y64" s="22">
        <v>0.115</v>
      </c>
      <c r="Z64" s="22">
        <v>0.115</v>
      </c>
      <c r="AA64" s="22">
        <v>0.115</v>
      </c>
      <c r="AB64" s="22">
        <v>0.115</v>
      </c>
      <c r="AC64" s="22">
        <v>0.115</v>
      </c>
      <c r="AD64" s="22">
        <v>0.115</v>
      </c>
      <c r="AE64" s="22">
        <v>0.115</v>
      </c>
      <c r="AF64" s="22">
        <v>0.115</v>
      </c>
      <c r="AG64" s="22">
        <v>0.115</v>
      </c>
      <c r="AH64" s="22">
        <v>0.115</v>
      </c>
      <c r="AI64" s="22">
        <v>0.115</v>
      </c>
      <c r="AJ64" s="22">
        <v>0.115</v>
      </c>
      <c r="AK64" s="22">
        <v>0.115</v>
      </c>
      <c r="AL64" s="22">
        <v>0.115</v>
      </c>
      <c r="AM64" s="22">
        <v>0.115</v>
      </c>
      <c r="AN64" s="22">
        <v>0.115</v>
      </c>
      <c r="AO64" s="22">
        <v>0.115</v>
      </c>
      <c r="AP64" s="22">
        <v>0.115</v>
      </c>
      <c r="AQ64" s="11">
        <f t="shared" si="0"/>
        <v>0.10841219512195131</v>
      </c>
    </row>
    <row r="65" spans="1:43" x14ac:dyDescent="0.3">
      <c r="A65" s="4">
        <v>46174</v>
      </c>
      <c r="B65" s="41">
        <v>7.5399999999999995E-2</v>
      </c>
      <c r="C65" s="41">
        <v>7.5399999999999995E-2</v>
      </c>
      <c r="D65" s="41">
        <v>7.5399999999999995E-2</v>
      </c>
      <c r="E65" s="31">
        <v>7.4300000000000005E-2</v>
      </c>
      <c r="F65" s="31">
        <v>7.4300000000000005E-2</v>
      </c>
      <c r="G65" s="31">
        <v>7.4300000000000005E-2</v>
      </c>
      <c r="H65" s="31">
        <v>7.4300000000000005E-2</v>
      </c>
      <c r="I65" s="40">
        <v>0.1173</v>
      </c>
      <c r="J65" s="40">
        <v>0.1173</v>
      </c>
      <c r="K65" s="40">
        <v>0.1173</v>
      </c>
      <c r="L65" s="40">
        <v>0.1173</v>
      </c>
      <c r="M65" s="40">
        <v>0.1173</v>
      </c>
      <c r="N65" s="40">
        <v>0.1173</v>
      </c>
      <c r="O65" s="40">
        <v>0.1173</v>
      </c>
      <c r="P65" s="22">
        <v>0.115</v>
      </c>
      <c r="Q65" s="40">
        <v>0.1173</v>
      </c>
      <c r="R65" s="22">
        <v>0.115</v>
      </c>
      <c r="S65" s="22">
        <v>0.115</v>
      </c>
      <c r="T65" s="22">
        <v>0.115</v>
      </c>
      <c r="U65" s="22">
        <v>0.115</v>
      </c>
      <c r="V65" s="22">
        <v>0.115</v>
      </c>
      <c r="W65" s="22">
        <v>0.115</v>
      </c>
      <c r="X65" s="22">
        <v>0.115</v>
      </c>
      <c r="Y65" s="40">
        <v>0.1173</v>
      </c>
      <c r="Z65" s="22">
        <v>0.115</v>
      </c>
      <c r="AA65" s="40">
        <v>0.1173</v>
      </c>
      <c r="AB65" s="22">
        <v>0.115</v>
      </c>
      <c r="AC65" s="22">
        <v>0.115</v>
      </c>
      <c r="AD65" s="22">
        <v>0.115</v>
      </c>
      <c r="AE65" s="22">
        <v>0.115</v>
      </c>
      <c r="AF65" s="22">
        <v>0.115</v>
      </c>
      <c r="AG65" s="22">
        <v>0.115</v>
      </c>
      <c r="AH65" s="22">
        <v>0.115</v>
      </c>
      <c r="AI65" s="22">
        <v>0.115</v>
      </c>
      <c r="AJ65" s="22">
        <v>0.115</v>
      </c>
      <c r="AK65" s="22">
        <v>0.115</v>
      </c>
      <c r="AL65" s="22">
        <v>0.115</v>
      </c>
      <c r="AM65" s="22">
        <v>0.115</v>
      </c>
      <c r="AN65" s="22">
        <v>0.115</v>
      </c>
      <c r="AO65" s="22">
        <v>0.115</v>
      </c>
      <c r="AP65" s="22">
        <v>0.115</v>
      </c>
      <c r="AQ65" s="11">
        <f t="shared" si="0"/>
        <v>0.10869268292682936</v>
      </c>
    </row>
    <row r="66" spans="1:43" x14ac:dyDescent="0.3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11"/>
    </row>
    <row r="67" spans="1:43" x14ac:dyDescent="0.3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11"/>
    </row>
    <row r="71" spans="1:43" x14ac:dyDescent="0.3">
      <c r="D71" s="34"/>
    </row>
    <row r="72" spans="1:43" x14ac:dyDescent="0.3">
      <c r="D72" s="34"/>
    </row>
    <row r="73" spans="1:43" x14ac:dyDescent="0.3">
      <c r="D73" s="34"/>
    </row>
    <row r="74" spans="1:43" x14ac:dyDescent="0.3">
      <c r="D74" s="34"/>
    </row>
    <row r="75" spans="1:43" x14ac:dyDescent="0.3">
      <c r="D75" s="34"/>
    </row>
    <row r="76" spans="1:43" x14ac:dyDescent="0.3">
      <c r="D76" s="34"/>
    </row>
    <row r="77" spans="1:43" x14ac:dyDescent="0.3">
      <c r="D77" s="34"/>
    </row>
    <row r="78" spans="1:43" x14ac:dyDescent="0.3">
      <c r="D78" s="34"/>
    </row>
    <row r="79" spans="1:43" x14ac:dyDescent="0.3">
      <c r="D79" s="34"/>
    </row>
    <row r="80" spans="1:43" x14ac:dyDescent="0.3">
      <c r="D80" s="34"/>
    </row>
    <row r="81" spans="4:5" x14ac:dyDescent="0.3">
      <c r="D81" s="34"/>
    </row>
    <row r="82" spans="4:5" x14ac:dyDescent="0.3">
      <c r="D82" s="34"/>
    </row>
    <row r="83" spans="4:5" x14ac:dyDescent="0.3">
      <c r="D83" s="34"/>
    </row>
    <row r="84" spans="4:5" x14ac:dyDescent="0.3">
      <c r="D84" s="34"/>
    </row>
    <row r="85" spans="4:5" x14ac:dyDescent="0.3">
      <c r="D85" s="34"/>
      <c r="E85" s="35"/>
    </row>
    <row r="86" spans="4:5" x14ac:dyDescent="0.3">
      <c r="D86" s="34"/>
    </row>
    <row r="87" spans="4:5" x14ac:dyDescent="0.3">
      <c r="D87" s="34"/>
    </row>
    <row r="88" spans="4:5" x14ac:dyDescent="0.3">
      <c r="D88" s="34"/>
    </row>
    <row r="89" spans="4:5" x14ac:dyDescent="0.3">
      <c r="D89" s="34"/>
    </row>
    <row r="90" spans="4:5" x14ac:dyDescent="0.3">
      <c r="D90" s="34"/>
    </row>
    <row r="91" spans="4:5" x14ac:dyDescent="0.3">
      <c r="D91" s="34"/>
    </row>
    <row r="92" spans="4:5" x14ac:dyDescent="0.3">
      <c r="D92" s="34"/>
    </row>
    <row r="93" spans="4:5" x14ac:dyDescent="0.3">
      <c r="D93" s="34"/>
    </row>
    <row r="94" spans="4:5" x14ac:dyDescent="0.3">
      <c r="D94" s="34"/>
    </row>
    <row r="95" spans="4:5" x14ac:dyDescent="0.3">
      <c r="D95" s="34"/>
    </row>
    <row r="96" spans="4:5" x14ac:dyDescent="0.3">
      <c r="D96" s="3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BAF7-12FA-4420-8234-F9421ACB0FD8}">
  <dimension ref="A1:AU65"/>
  <sheetViews>
    <sheetView tabSelected="1" zoomScale="90" zoomScaleNormal="90" workbookViewId="0">
      <pane xSplit="1" ySplit="2" topLeftCell="AC43" activePane="bottomRight" state="frozen"/>
      <selection pane="topRight" activeCell="B1" sqref="B1"/>
      <selection pane="bottomLeft" activeCell="A3" sqref="A3"/>
      <selection pane="bottomRight" activeCell="AP66" sqref="AP66"/>
    </sheetView>
  </sheetViews>
  <sheetFormatPr defaultColWidth="8.5546875" defaultRowHeight="14.4" x14ac:dyDescent="0.3"/>
  <cols>
    <col min="1" max="1" width="8.5546875" style="1"/>
    <col min="2" max="3" width="10.88671875" style="1" customWidth="1"/>
    <col min="4" max="4" width="12.44140625" style="1" customWidth="1"/>
    <col min="5" max="42" width="10.88671875" style="1" customWidth="1"/>
    <col min="43" max="44" width="10.44140625" style="1" customWidth="1"/>
    <col min="45" max="45" width="8.5546875" style="1"/>
    <col min="46" max="46" width="10.5546875" style="1" customWidth="1"/>
    <col min="47" max="16384" width="8.5546875" style="1"/>
  </cols>
  <sheetData>
    <row r="1" spans="1:44" x14ac:dyDescent="0.3">
      <c r="B1" s="38" t="s">
        <v>10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</row>
    <row r="2" spans="1:44" s="2" customFormat="1" ht="44.1" customHeight="1" x14ac:dyDescent="0.3">
      <c r="A2" s="3" t="s">
        <v>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62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51</v>
      </c>
      <c r="AC2" s="3" t="s">
        <v>52</v>
      </c>
      <c r="AD2" s="3" t="s">
        <v>53</v>
      </c>
      <c r="AE2" s="3" t="s">
        <v>54</v>
      </c>
      <c r="AF2" s="3" t="s">
        <v>55</v>
      </c>
      <c r="AG2" s="3" t="s">
        <v>56</v>
      </c>
      <c r="AH2" s="3" t="s">
        <v>57</v>
      </c>
      <c r="AI2" s="3" t="s">
        <v>58</v>
      </c>
      <c r="AJ2" s="3" t="s">
        <v>63</v>
      </c>
      <c r="AK2" s="3" t="s">
        <v>65</v>
      </c>
      <c r="AL2" s="3" t="s">
        <v>66</v>
      </c>
      <c r="AM2" s="3" t="s">
        <v>67</v>
      </c>
      <c r="AN2" s="3" t="s">
        <v>68</v>
      </c>
      <c r="AO2" s="3" t="s">
        <v>69</v>
      </c>
      <c r="AP2" s="3" t="s">
        <v>70</v>
      </c>
      <c r="AQ2" s="3" t="s">
        <v>23</v>
      </c>
      <c r="AR2" s="3" t="s">
        <v>21</v>
      </c>
    </row>
    <row r="3" spans="1:44" x14ac:dyDescent="0.3">
      <c r="A3" s="4">
        <v>44287</v>
      </c>
      <c r="B3" s="12">
        <f>kWh!B3*('Elec Rates'!B3-'CS Rates'!B3)</f>
        <v>387.4679999999999</v>
      </c>
      <c r="C3" s="12">
        <f>kWh!C3*('Elec Rates'!C3-'CS Rates'!C3)</f>
        <v>317.97599999999994</v>
      </c>
      <c r="D3" s="12">
        <f>kWh!D3*('Elec Rates'!D3-'CS Rates'!D3)</f>
        <v>239.91239999999993</v>
      </c>
      <c r="E3" s="12">
        <f>kWh!E3*('Elec Rates'!E3-'CS Rates'!E3)</f>
        <v>0</v>
      </c>
      <c r="F3" s="12">
        <f>kWh!F3*('Elec Rates'!F3-'CS Rates'!F3)</f>
        <v>0</v>
      </c>
      <c r="G3" s="12">
        <f>kWh!G3*('Elec Rates'!G3-'CS Rates'!G3)</f>
        <v>0</v>
      </c>
      <c r="H3" s="12">
        <f>kWh!H3*('Elec Rates'!H3-'CS Rates'!H3)</f>
        <v>0</v>
      </c>
      <c r="I3" s="12">
        <f>kWh!I3*('Elec Rates'!I3-'CS Rates'!I3)</f>
        <v>0</v>
      </c>
      <c r="J3" s="12">
        <f>kWh!J3*('Elec Rates'!J3-'CS Rates'!J3)</f>
        <v>0</v>
      </c>
      <c r="K3" s="12">
        <f>kWh!K3*('Elec Rates'!K3-'CS Rates'!K3)</f>
        <v>0</v>
      </c>
      <c r="L3" s="12">
        <f>kWh!L3*('Elec Rates'!L3-'CS Rates'!L3)</f>
        <v>0</v>
      </c>
      <c r="M3" s="12">
        <f>kWh!M3*('Elec Rates'!M3-'CS Rates'!M3)</f>
        <v>0</v>
      </c>
      <c r="N3" s="12">
        <f>kWh!N3*('Elec Rates'!N3-'CS Rates'!N3)</f>
        <v>0</v>
      </c>
      <c r="O3" s="12">
        <f>kWh!O3*('Elec Rates'!O3-'CS Rates'!O3)</f>
        <v>0</v>
      </c>
      <c r="P3" s="12">
        <f>kWh!P3*('Elec Rates'!P3-'CS Rates'!P3)</f>
        <v>0</v>
      </c>
      <c r="Q3" s="12">
        <f>kWh!Q3*('Elec Rates'!Q3-'CS Rates'!Q3)</f>
        <v>0</v>
      </c>
      <c r="R3" s="12">
        <f>kWh!R3*('Elec Rates'!R3-'CS Rates'!R3)</f>
        <v>0</v>
      </c>
      <c r="S3" s="12">
        <f>kWh!S3*('Elec Rates'!S3-'CS Rates'!S3)</f>
        <v>0</v>
      </c>
      <c r="T3" s="12">
        <f>kWh!T3*('Elec Rates'!T3-'CS Rates'!T3)</f>
        <v>0</v>
      </c>
      <c r="U3" s="12">
        <f>kWh!U3*('Elec Rates'!U3-'CS Rates'!U3)</f>
        <v>0</v>
      </c>
      <c r="V3" s="12">
        <f>kWh!V3*('Elec Rates'!V3-'CS Rates'!V3)</f>
        <v>0</v>
      </c>
      <c r="W3" s="12">
        <f>kWh!W3*('Elec Rates'!W3-'CS Rates'!W3)</f>
        <v>0</v>
      </c>
      <c r="X3" s="12">
        <f>kWh!X3*('Elec Rates'!X3-'CS Rates'!X3)</f>
        <v>0</v>
      </c>
      <c r="Y3" s="12">
        <f>kWh!Y3*('Elec Rates'!Y3-'CS Rates'!Y3)</f>
        <v>0</v>
      </c>
      <c r="Z3" s="12">
        <f>kWh!Z3*('Elec Rates'!Z3-'CS Rates'!Z3)</f>
        <v>0</v>
      </c>
      <c r="AA3" s="12">
        <f>kWh!AA3*('Elec Rates'!AA3-'CS Rates'!AA3)</f>
        <v>0</v>
      </c>
      <c r="AB3" s="12">
        <f>kWh!AB3*('Elec Rates'!AB3-'CS Rates'!AB3)</f>
        <v>0</v>
      </c>
      <c r="AC3" s="12">
        <f>kWh!AC3*('Elec Rates'!AC3-'CS Rates'!AC3)</f>
        <v>0</v>
      </c>
      <c r="AD3" s="12">
        <f>kWh!AD3*('Elec Rates'!AD3-'CS Rates'!AD3)</f>
        <v>0</v>
      </c>
      <c r="AE3" s="12">
        <f>kWh!AE3*('Elec Rates'!AE3-'CS Rates'!AE3)</f>
        <v>0</v>
      </c>
      <c r="AF3" s="12">
        <f>kWh!AF3*('Elec Rates'!AF3-'CS Rates'!AF3)</f>
        <v>0</v>
      </c>
      <c r="AG3" s="12">
        <f>kWh!AG3*('Elec Rates'!AG3-'CS Rates'!AG3)</f>
        <v>0</v>
      </c>
      <c r="AH3" s="12">
        <f>kWh!AH3*('Elec Rates'!AH3-'CS Rates'!AH3)</f>
        <v>0</v>
      </c>
      <c r="AI3" s="12">
        <f>kWh!AI3*('Elec Rates'!AI3-'CS Rates'!AI3)</f>
        <v>0</v>
      </c>
      <c r="AJ3" s="12">
        <f>kWh!AJ3*('Elec Rates'!AJ3-'CS Rates'!AJ3)</f>
        <v>0</v>
      </c>
      <c r="AK3" s="12">
        <f>kWh!AK3*('Elec Rates'!AK3-'CS Rates'!AK3)</f>
        <v>0</v>
      </c>
      <c r="AL3" s="12">
        <f>kWh!AL3*('Elec Rates'!AL3-'CS Rates'!AL3)</f>
        <v>0</v>
      </c>
      <c r="AM3" s="12">
        <f>kWh!AM3*('Elec Rates'!AM3-'CS Rates'!AM3)</f>
        <v>0</v>
      </c>
      <c r="AN3" s="12">
        <f>kWh!AN3*('Elec Rates'!AN3-'CS Rates'!AN3)</f>
        <v>0</v>
      </c>
      <c r="AO3" s="12">
        <f>kWh!AO3*('Elec Rates'!AO3-'CS Rates'!AO3)</f>
        <v>0</v>
      </c>
      <c r="AP3" s="12">
        <f>kWh!AP3*('Elec Rates'!AP3-'CS Rates'!AP3)</f>
        <v>0</v>
      </c>
      <c r="AQ3" s="12">
        <f>SUM(B3:AP3)</f>
        <v>945.35639999999978</v>
      </c>
      <c r="AR3" s="12">
        <f>SUM(AQ3:AQ65)</f>
        <v>326586.72866000008</v>
      </c>
    </row>
    <row r="4" spans="1:44" x14ac:dyDescent="0.3">
      <c r="A4" s="4">
        <v>44317</v>
      </c>
      <c r="B4" s="12">
        <f>kWh!B4*('Elec Rates'!B4-'CS Rates'!B4)</f>
        <v>718.52399999999977</v>
      </c>
      <c r="C4" s="12">
        <f>kWh!C4*('Elec Rates'!C4-'CS Rates'!C4)</f>
        <v>259.75599999999991</v>
      </c>
      <c r="D4" s="12">
        <f>kWh!D4*('Elec Rates'!D4-'CS Rates'!D4)</f>
        <v>488.41799999999995</v>
      </c>
      <c r="E4" s="12">
        <f>kWh!E4*('Elec Rates'!E4-'CS Rates'!E4)</f>
        <v>0</v>
      </c>
      <c r="F4" s="12">
        <f>kWh!F4*('Elec Rates'!F4-'CS Rates'!F4)</f>
        <v>0</v>
      </c>
      <c r="G4" s="12">
        <f>kWh!G4*('Elec Rates'!G4-'CS Rates'!G4)</f>
        <v>0</v>
      </c>
      <c r="H4" s="12">
        <f>kWh!H4*('Elec Rates'!H4-'CS Rates'!H4)</f>
        <v>0</v>
      </c>
      <c r="I4" s="12">
        <f>kWh!I4*('Elec Rates'!I4-'CS Rates'!I4)</f>
        <v>0</v>
      </c>
      <c r="J4" s="12">
        <f>kWh!J4*('Elec Rates'!J4-'CS Rates'!J4)</f>
        <v>0</v>
      </c>
      <c r="K4" s="12">
        <f>kWh!K4*('Elec Rates'!K4-'CS Rates'!K4)</f>
        <v>0</v>
      </c>
      <c r="L4" s="12">
        <f>kWh!L4*('Elec Rates'!L4-'CS Rates'!L4)</f>
        <v>0</v>
      </c>
      <c r="M4" s="12">
        <f>kWh!M4*('Elec Rates'!M4-'CS Rates'!M4)</f>
        <v>0</v>
      </c>
      <c r="N4" s="12">
        <f>kWh!N4*('Elec Rates'!N4-'CS Rates'!N4)</f>
        <v>0</v>
      </c>
      <c r="O4" s="12">
        <f>kWh!O4*('Elec Rates'!O4-'CS Rates'!O4)</f>
        <v>0</v>
      </c>
      <c r="P4" s="12">
        <f>kWh!P4*('Elec Rates'!P4-'CS Rates'!P4)</f>
        <v>0</v>
      </c>
      <c r="Q4" s="12">
        <f>kWh!Q4*('Elec Rates'!Q4-'CS Rates'!Q4)</f>
        <v>0</v>
      </c>
      <c r="R4" s="12">
        <f>kWh!R4*('Elec Rates'!R4-'CS Rates'!R4)</f>
        <v>0</v>
      </c>
      <c r="S4" s="12">
        <f>kWh!S4*('Elec Rates'!S4-'CS Rates'!S4)</f>
        <v>0</v>
      </c>
      <c r="T4" s="12">
        <f>kWh!T4*('Elec Rates'!T4-'CS Rates'!T4)</f>
        <v>0</v>
      </c>
      <c r="U4" s="12">
        <f>kWh!U4*('Elec Rates'!U4-'CS Rates'!U4)</f>
        <v>0</v>
      </c>
      <c r="V4" s="12">
        <f>kWh!V4*('Elec Rates'!V4-'CS Rates'!V4)</f>
        <v>0</v>
      </c>
      <c r="W4" s="12">
        <f>kWh!W4*('Elec Rates'!W4-'CS Rates'!W4)</f>
        <v>0</v>
      </c>
      <c r="X4" s="12">
        <f>kWh!X4*('Elec Rates'!X4-'CS Rates'!X4)</f>
        <v>0</v>
      </c>
      <c r="Y4" s="12">
        <f>kWh!Y4*('Elec Rates'!Y4-'CS Rates'!Y4)</f>
        <v>0</v>
      </c>
      <c r="Z4" s="12">
        <f>kWh!Z4*('Elec Rates'!Z4-'CS Rates'!Z4)</f>
        <v>0</v>
      </c>
      <c r="AA4" s="12">
        <f>kWh!AA4*('Elec Rates'!AA4-'CS Rates'!AA4)</f>
        <v>0</v>
      </c>
      <c r="AB4" s="12">
        <f>kWh!AB4*('Elec Rates'!AB4-'CS Rates'!AB4)</f>
        <v>0</v>
      </c>
      <c r="AC4" s="12">
        <f>kWh!AC4*('Elec Rates'!AC4-'CS Rates'!AC4)</f>
        <v>0</v>
      </c>
      <c r="AD4" s="12">
        <f>kWh!AD4*('Elec Rates'!AD4-'CS Rates'!AD4)</f>
        <v>0</v>
      </c>
      <c r="AE4" s="12">
        <f>kWh!AE4*('Elec Rates'!AE4-'CS Rates'!AE4)</f>
        <v>0</v>
      </c>
      <c r="AF4" s="12">
        <f>kWh!AF4*('Elec Rates'!AF4-'CS Rates'!AF4)</f>
        <v>0</v>
      </c>
      <c r="AG4" s="12">
        <f>kWh!AG4*('Elec Rates'!AG4-'CS Rates'!AG4)</f>
        <v>0</v>
      </c>
      <c r="AH4" s="12">
        <f>kWh!AH4*('Elec Rates'!AH4-'CS Rates'!AH4)</f>
        <v>0</v>
      </c>
      <c r="AI4" s="12">
        <f>kWh!AI4*('Elec Rates'!AI4-'CS Rates'!AI4)</f>
        <v>0</v>
      </c>
      <c r="AJ4" s="12">
        <f>kWh!AJ4*('Elec Rates'!AJ4-'CS Rates'!AJ4)</f>
        <v>0</v>
      </c>
      <c r="AK4" s="12">
        <f>kWh!AK4*('Elec Rates'!AK4-'CS Rates'!AK4)</f>
        <v>0</v>
      </c>
      <c r="AL4" s="12">
        <f>kWh!AL4*('Elec Rates'!AL4-'CS Rates'!AL4)</f>
        <v>0</v>
      </c>
      <c r="AM4" s="12">
        <f>kWh!AM4*('Elec Rates'!AM4-'CS Rates'!AM4)</f>
        <v>0</v>
      </c>
      <c r="AN4" s="12">
        <f>kWh!AN4*('Elec Rates'!AN4-'CS Rates'!AN4)</f>
        <v>0</v>
      </c>
      <c r="AO4" s="12">
        <f>kWh!AO4*('Elec Rates'!AO4-'CS Rates'!AO4)</f>
        <v>0</v>
      </c>
      <c r="AP4" s="12">
        <f>kWh!AP4*('Elec Rates'!AP4-'CS Rates'!AP4)</f>
        <v>0</v>
      </c>
      <c r="AQ4" s="12">
        <f t="shared" ref="AQ4:AQ65" si="0">SUM(B4:AP4)</f>
        <v>1466.6979999999996</v>
      </c>
    </row>
    <row r="5" spans="1:44" x14ac:dyDescent="0.3">
      <c r="A5" s="4">
        <v>44348</v>
      </c>
      <c r="B5" s="12">
        <f>kWh!B5*('Elec Rates'!B5-'CS Rates'!B5)</f>
        <v>990.25919999999996</v>
      </c>
      <c r="C5" s="12">
        <f>kWh!C5*('Elec Rates'!C5-'CS Rates'!C5)</f>
        <v>413.84999999999997</v>
      </c>
      <c r="D5" s="12">
        <f>kWh!D5*('Elec Rates'!D5-'CS Rates'!D5)</f>
        <v>926.31</v>
      </c>
      <c r="E5" s="12">
        <f>kWh!E5*('Elec Rates'!E5-'CS Rates'!E5)</f>
        <v>0</v>
      </c>
      <c r="F5" s="12">
        <f>kWh!F5*('Elec Rates'!F5-'CS Rates'!F5)</f>
        <v>0</v>
      </c>
      <c r="G5" s="12">
        <f>kWh!G5*('Elec Rates'!G5-'CS Rates'!G5)</f>
        <v>0</v>
      </c>
      <c r="H5" s="12">
        <f>kWh!H5*('Elec Rates'!H5-'CS Rates'!H5)</f>
        <v>0</v>
      </c>
      <c r="I5" s="12">
        <f>kWh!I5*('Elec Rates'!I5-'CS Rates'!I5)</f>
        <v>0</v>
      </c>
      <c r="J5" s="12">
        <f>kWh!J5*('Elec Rates'!J5-'CS Rates'!J5)</f>
        <v>0</v>
      </c>
      <c r="K5" s="12">
        <f>kWh!K5*('Elec Rates'!K5-'CS Rates'!K5)</f>
        <v>0</v>
      </c>
      <c r="L5" s="12">
        <f>kWh!L5*('Elec Rates'!L5-'CS Rates'!L5)</f>
        <v>0</v>
      </c>
      <c r="M5" s="12">
        <f>kWh!M5*('Elec Rates'!M5-'CS Rates'!M5)</f>
        <v>0</v>
      </c>
      <c r="N5" s="12">
        <f>kWh!N5*('Elec Rates'!N5-'CS Rates'!N5)</f>
        <v>0</v>
      </c>
      <c r="O5" s="12">
        <f>kWh!O5*('Elec Rates'!O5-'CS Rates'!O5)</f>
        <v>0</v>
      </c>
      <c r="P5" s="12">
        <f>kWh!P5*('Elec Rates'!P5-'CS Rates'!P5)</f>
        <v>0</v>
      </c>
      <c r="Q5" s="12">
        <f>kWh!Q5*('Elec Rates'!Q5-'CS Rates'!Q5)</f>
        <v>0</v>
      </c>
      <c r="R5" s="12">
        <f>kWh!R5*('Elec Rates'!R5-'CS Rates'!R5)</f>
        <v>0</v>
      </c>
      <c r="S5" s="12">
        <f>kWh!S5*('Elec Rates'!S5-'CS Rates'!S5)</f>
        <v>0</v>
      </c>
      <c r="T5" s="12">
        <f>kWh!T5*('Elec Rates'!T5-'CS Rates'!T5)</f>
        <v>0</v>
      </c>
      <c r="U5" s="12">
        <f>kWh!U5*('Elec Rates'!U5-'CS Rates'!U5)</f>
        <v>0</v>
      </c>
      <c r="V5" s="12">
        <f>kWh!V5*('Elec Rates'!V5-'CS Rates'!V5)</f>
        <v>0</v>
      </c>
      <c r="W5" s="12">
        <f>kWh!W5*('Elec Rates'!W5-'CS Rates'!W5)</f>
        <v>0</v>
      </c>
      <c r="X5" s="12">
        <f>kWh!X5*('Elec Rates'!X5-'CS Rates'!X5)</f>
        <v>0</v>
      </c>
      <c r="Y5" s="12">
        <f>kWh!Y5*('Elec Rates'!Y5-'CS Rates'!Y5)</f>
        <v>0</v>
      </c>
      <c r="Z5" s="12">
        <f>kWh!Z5*('Elec Rates'!Z5-'CS Rates'!Z5)</f>
        <v>0</v>
      </c>
      <c r="AA5" s="12">
        <f>kWh!AA5*('Elec Rates'!AA5-'CS Rates'!AA5)</f>
        <v>0</v>
      </c>
      <c r="AB5" s="12">
        <f>kWh!AB5*('Elec Rates'!AB5-'CS Rates'!AB5)</f>
        <v>0</v>
      </c>
      <c r="AC5" s="12">
        <f>kWh!AC5*('Elec Rates'!AC5-'CS Rates'!AC5)</f>
        <v>0</v>
      </c>
      <c r="AD5" s="12">
        <f>kWh!AD5*('Elec Rates'!AD5-'CS Rates'!AD5)</f>
        <v>0</v>
      </c>
      <c r="AE5" s="12">
        <f>kWh!AE5*('Elec Rates'!AE5-'CS Rates'!AE5)</f>
        <v>0</v>
      </c>
      <c r="AF5" s="12">
        <f>kWh!AF5*('Elec Rates'!AF5-'CS Rates'!AF5)</f>
        <v>0</v>
      </c>
      <c r="AG5" s="12">
        <f>kWh!AG5*('Elec Rates'!AG5-'CS Rates'!AG5)</f>
        <v>0</v>
      </c>
      <c r="AH5" s="12">
        <f>kWh!AH5*('Elec Rates'!AH5-'CS Rates'!AH5)</f>
        <v>0</v>
      </c>
      <c r="AI5" s="12">
        <f>kWh!AI5*('Elec Rates'!AI5-'CS Rates'!AI5)</f>
        <v>0</v>
      </c>
      <c r="AJ5" s="12">
        <f>kWh!AJ5*('Elec Rates'!AJ5-'CS Rates'!AJ5)</f>
        <v>0</v>
      </c>
      <c r="AK5" s="12">
        <f>kWh!AK5*('Elec Rates'!AK5-'CS Rates'!AK5)</f>
        <v>0</v>
      </c>
      <c r="AL5" s="12">
        <f>kWh!AL5*('Elec Rates'!AL5-'CS Rates'!AL5)</f>
        <v>0</v>
      </c>
      <c r="AM5" s="12">
        <f>kWh!AM5*('Elec Rates'!AM5-'CS Rates'!AM5)</f>
        <v>0</v>
      </c>
      <c r="AN5" s="12">
        <f>kWh!AN5*('Elec Rates'!AN5-'CS Rates'!AN5)</f>
        <v>0</v>
      </c>
      <c r="AO5" s="12">
        <f>kWh!AO5*('Elec Rates'!AO5-'CS Rates'!AO5)</f>
        <v>0</v>
      </c>
      <c r="AP5" s="12">
        <f>kWh!AP5*('Elec Rates'!AP5-'CS Rates'!AP5)</f>
        <v>0</v>
      </c>
      <c r="AQ5" s="12">
        <f t="shared" si="0"/>
        <v>2330.4191999999998</v>
      </c>
    </row>
    <row r="6" spans="1:44" x14ac:dyDescent="0.3">
      <c r="A6" s="4">
        <v>44378</v>
      </c>
      <c r="B6" s="12">
        <f>kWh!B6*('Elec Rates'!B6-'CS Rates'!B6)</f>
        <v>573.33759999999995</v>
      </c>
      <c r="C6" s="12">
        <f>kWh!C6*('Elec Rates'!C6-'CS Rates'!C6)</f>
        <v>519.87249999999983</v>
      </c>
      <c r="D6" s="12">
        <f>kWh!D6*('Elec Rates'!D6-'CS Rates'!D6)</f>
        <v>660.58369999999979</v>
      </c>
      <c r="E6" s="12">
        <f>kWh!E6*('Elec Rates'!E6-'CS Rates'!E6)</f>
        <v>0</v>
      </c>
      <c r="F6" s="12">
        <f>kWh!F6*('Elec Rates'!F6-'CS Rates'!F6)</f>
        <v>0</v>
      </c>
      <c r="G6" s="12">
        <f>kWh!G6*('Elec Rates'!G6-'CS Rates'!G6)</f>
        <v>0</v>
      </c>
      <c r="H6" s="12">
        <f>kWh!H6*('Elec Rates'!H6-'CS Rates'!H6)</f>
        <v>0</v>
      </c>
      <c r="I6" s="12">
        <f>kWh!I6*('Elec Rates'!I6-'CS Rates'!I6)</f>
        <v>0</v>
      </c>
      <c r="J6" s="12">
        <f>kWh!J6*('Elec Rates'!J6-'CS Rates'!J6)</f>
        <v>0</v>
      </c>
      <c r="K6" s="12">
        <f>kWh!K6*('Elec Rates'!K6-'CS Rates'!K6)</f>
        <v>0</v>
      </c>
      <c r="L6" s="12">
        <f>kWh!L6*('Elec Rates'!L6-'CS Rates'!L6)</f>
        <v>0</v>
      </c>
      <c r="M6" s="12">
        <f>kWh!M6*('Elec Rates'!M6-'CS Rates'!M6)</f>
        <v>0</v>
      </c>
      <c r="N6" s="12">
        <f>kWh!N6*('Elec Rates'!N6-'CS Rates'!N6)</f>
        <v>0</v>
      </c>
      <c r="O6" s="12">
        <f>kWh!O6*('Elec Rates'!O6-'CS Rates'!O6)</f>
        <v>0</v>
      </c>
      <c r="P6" s="12">
        <f>kWh!P6*('Elec Rates'!P6-'CS Rates'!P6)</f>
        <v>0</v>
      </c>
      <c r="Q6" s="12">
        <f>kWh!Q6*('Elec Rates'!Q6-'CS Rates'!Q6)</f>
        <v>0</v>
      </c>
      <c r="R6" s="12">
        <f>kWh!R6*('Elec Rates'!R6-'CS Rates'!R6)</f>
        <v>0</v>
      </c>
      <c r="S6" s="12">
        <f>kWh!S6*('Elec Rates'!S6-'CS Rates'!S6)</f>
        <v>0</v>
      </c>
      <c r="T6" s="12">
        <f>kWh!T6*('Elec Rates'!T6-'CS Rates'!T6)</f>
        <v>0</v>
      </c>
      <c r="U6" s="12">
        <f>kWh!U6*('Elec Rates'!U6-'CS Rates'!U6)</f>
        <v>0</v>
      </c>
      <c r="V6" s="12">
        <f>kWh!V6*('Elec Rates'!V6-'CS Rates'!V6)</f>
        <v>0</v>
      </c>
      <c r="W6" s="12">
        <f>kWh!W6*('Elec Rates'!W6-'CS Rates'!W6)</f>
        <v>0</v>
      </c>
      <c r="X6" s="12">
        <f>kWh!X6*('Elec Rates'!X6-'CS Rates'!X6)</f>
        <v>0</v>
      </c>
      <c r="Y6" s="12">
        <f>kWh!Y6*('Elec Rates'!Y6-'CS Rates'!Y6)</f>
        <v>0</v>
      </c>
      <c r="Z6" s="12">
        <f>kWh!Z6*('Elec Rates'!Z6-'CS Rates'!Z6)</f>
        <v>0</v>
      </c>
      <c r="AA6" s="12">
        <f>kWh!AA6*('Elec Rates'!AA6-'CS Rates'!AA6)</f>
        <v>0</v>
      </c>
      <c r="AB6" s="12">
        <f>kWh!AB6*('Elec Rates'!AB6-'CS Rates'!AB6)</f>
        <v>0</v>
      </c>
      <c r="AC6" s="12">
        <f>kWh!AC6*('Elec Rates'!AC6-'CS Rates'!AC6)</f>
        <v>0</v>
      </c>
      <c r="AD6" s="12">
        <f>kWh!AD6*('Elec Rates'!AD6-'CS Rates'!AD6)</f>
        <v>0</v>
      </c>
      <c r="AE6" s="12">
        <f>kWh!AE6*('Elec Rates'!AE6-'CS Rates'!AE6)</f>
        <v>0</v>
      </c>
      <c r="AF6" s="12">
        <f>kWh!AF6*('Elec Rates'!AF6-'CS Rates'!AF6)</f>
        <v>0</v>
      </c>
      <c r="AG6" s="12">
        <f>kWh!AG6*('Elec Rates'!AG6-'CS Rates'!AG6)</f>
        <v>0</v>
      </c>
      <c r="AH6" s="12">
        <f>kWh!AH6*('Elec Rates'!AH6-'CS Rates'!AH6)</f>
        <v>0</v>
      </c>
      <c r="AI6" s="12">
        <f>kWh!AI6*('Elec Rates'!AI6-'CS Rates'!AI6)</f>
        <v>0</v>
      </c>
      <c r="AJ6" s="12">
        <f>kWh!AJ6*('Elec Rates'!AJ6-'CS Rates'!AJ6)</f>
        <v>0</v>
      </c>
      <c r="AK6" s="12">
        <f>kWh!AK6*('Elec Rates'!AK6-'CS Rates'!AK6)</f>
        <v>0</v>
      </c>
      <c r="AL6" s="12">
        <f>kWh!AL6*('Elec Rates'!AL6-'CS Rates'!AL6)</f>
        <v>0</v>
      </c>
      <c r="AM6" s="12">
        <f>kWh!AM6*('Elec Rates'!AM6-'CS Rates'!AM6)</f>
        <v>0</v>
      </c>
      <c r="AN6" s="12">
        <f>kWh!AN6*('Elec Rates'!AN6-'CS Rates'!AN6)</f>
        <v>0</v>
      </c>
      <c r="AO6" s="12">
        <f>kWh!AO6*('Elec Rates'!AO6-'CS Rates'!AO6)</f>
        <v>0</v>
      </c>
      <c r="AP6" s="12">
        <f>kWh!AP6*('Elec Rates'!AP6-'CS Rates'!AP6)</f>
        <v>0</v>
      </c>
      <c r="AQ6" s="12">
        <f t="shared" si="0"/>
        <v>1753.7937999999995</v>
      </c>
    </row>
    <row r="7" spans="1:44" x14ac:dyDescent="0.3">
      <c r="A7" s="4">
        <v>44409</v>
      </c>
      <c r="B7" s="12">
        <f>kWh!B7*('Elec Rates'!B7-'CS Rates'!B7)</f>
        <v>835.53819999999996</v>
      </c>
      <c r="C7" s="12">
        <f>kWh!C7*('Elec Rates'!C7-'CS Rates'!C7)</f>
        <v>379.34259999999995</v>
      </c>
      <c r="D7" s="12">
        <f>kWh!D7*('Elec Rates'!D7-'CS Rates'!D7)</f>
        <v>1069.992</v>
      </c>
      <c r="E7" s="12">
        <f>kWh!E7*('Elec Rates'!E7-'CS Rates'!E7)</f>
        <v>0</v>
      </c>
      <c r="F7" s="12">
        <f>kWh!F7*('Elec Rates'!F7-'CS Rates'!F7)</f>
        <v>0</v>
      </c>
      <c r="G7" s="12">
        <f>kWh!G7*('Elec Rates'!G7-'CS Rates'!G7)</f>
        <v>0</v>
      </c>
      <c r="H7" s="12">
        <f>kWh!H7*('Elec Rates'!H7-'CS Rates'!H7)</f>
        <v>0</v>
      </c>
      <c r="I7" s="12">
        <f>kWh!I7*('Elec Rates'!I7-'CS Rates'!I7)</f>
        <v>0</v>
      </c>
      <c r="J7" s="12">
        <f>kWh!J7*('Elec Rates'!J7-'CS Rates'!J7)</f>
        <v>0</v>
      </c>
      <c r="K7" s="12">
        <f>kWh!K7*('Elec Rates'!K7-'CS Rates'!K7)</f>
        <v>0</v>
      </c>
      <c r="L7" s="12">
        <f>kWh!L7*('Elec Rates'!L7-'CS Rates'!L7)</f>
        <v>0</v>
      </c>
      <c r="M7" s="12">
        <f>kWh!M7*('Elec Rates'!M7-'CS Rates'!M7)</f>
        <v>0</v>
      </c>
      <c r="N7" s="12">
        <f>kWh!N7*('Elec Rates'!N7-'CS Rates'!N7)</f>
        <v>0</v>
      </c>
      <c r="O7" s="12">
        <f>kWh!O7*('Elec Rates'!O7-'CS Rates'!O7)</f>
        <v>0</v>
      </c>
      <c r="P7" s="12">
        <f>kWh!P7*('Elec Rates'!P7-'CS Rates'!P7)</f>
        <v>0</v>
      </c>
      <c r="Q7" s="12">
        <f>kWh!Q7*('Elec Rates'!Q7-'CS Rates'!Q7)</f>
        <v>0</v>
      </c>
      <c r="R7" s="12">
        <f>kWh!R7*('Elec Rates'!R7-'CS Rates'!R7)</f>
        <v>0</v>
      </c>
      <c r="S7" s="12">
        <f>kWh!S7*('Elec Rates'!S7-'CS Rates'!S7)</f>
        <v>0</v>
      </c>
      <c r="T7" s="12">
        <f>kWh!T7*('Elec Rates'!T7-'CS Rates'!T7)</f>
        <v>0</v>
      </c>
      <c r="U7" s="12">
        <f>kWh!U7*('Elec Rates'!U7-'CS Rates'!U7)</f>
        <v>0</v>
      </c>
      <c r="V7" s="12">
        <f>kWh!V7*('Elec Rates'!V7-'CS Rates'!V7)</f>
        <v>0</v>
      </c>
      <c r="W7" s="12">
        <f>kWh!W7*('Elec Rates'!W7-'CS Rates'!W7)</f>
        <v>0</v>
      </c>
      <c r="X7" s="12">
        <f>kWh!X7*('Elec Rates'!X7-'CS Rates'!X7)</f>
        <v>0</v>
      </c>
      <c r="Y7" s="12">
        <f>kWh!Y7*('Elec Rates'!Y7-'CS Rates'!Y7)</f>
        <v>0</v>
      </c>
      <c r="Z7" s="12">
        <f>kWh!Z7*('Elec Rates'!Z7-'CS Rates'!Z7)</f>
        <v>0</v>
      </c>
      <c r="AA7" s="12">
        <f>kWh!AA7*('Elec Rates'!AA7-'CS Rates'!AA7)</f>
        <v>0</v>
      </c>
      <c r="AB7" s="12">
        <f>kWh!AB7*('Elec Rates'!AB7-'CS Rates'!AB7)</f>
        <v>0</v>
      </c>
      <c r="AC7" s="12">
        <f>kWh!AC7*('Elec Rates'!AC7-'CS Rates'!AC7)</f>
        <v>0</v>
      </c>
      <c r="AD7" s="12">
        <f>kWh!AD7*('Elec Rates'!AD7-'CS Rates'!AD7)</f>
        <v>0</v>
      </c>
      <c r="AE7" s="12">
        <f>kWh!AE7*('Elec Rates'!AE7-'CS Rates'!AE7)</f>
        <v>0</v>
      </c>
      <c r="AF7" s="12">
        <f>kWh!AF7*('Elec Rates'!AF7-'CS Rates'!AF7)</f>
        <v>0</v>
      </c>
      <c r="AG7" s="12">
        <f>kWh!AG7*('Elec Rates'!AG7-'CS Rates'!AG7)</f>
        <v>0</v>
      </c>
      <c r="AH7" s="12">
        <f>kWh!AH7*('Elec Rates'!AH7-'CS Rates'!AH7)</f>
        <v>0</v>
      </c>
      <c r="AI7" s="12">
        <f>kWh!AI7*('Elec Rates'!AI7-'CS Rates'!AI7)</f>
        <v>0</v>
      </c>
      <c r="AJ7" s="12">
        <f>kWh!AJ7*('Elec Rates'!AJ7-'CS Rates'!AJ7)</f>
        <v>0</v>
      </c>
      <c r="AK7" s="12">
        <f>kWh!AK7*('Elec Rates'!AK7-'CS Rates'!AK7)</f>
        <v>0</v>
      </c>
      <c r="AL7" s="12">
        <f>kWh!AL7*('Elec Rates'!AL7-'CS Rates'!AL7)</f>
        <v>0</v>
      </c>
      <c r="AM7" s="12">
        <f>kWh!AM7*('Elec Rates'!AM7-'CS Rates'!AM7)</f>
        <v>0</v>
      </c>
      <c r="AN7" s="12">
        <f>kWh!AN7*('Elec Rates'!AN7-'CS Rates'!AN7)</f>
        <v>0</v>
      </c>
      <c r="AO7" s="12">
        <f>kWh!AO7*('Elec Rates'!AO7-'CS Rates'!AO7)</f>
        <v>0</v>
      </c>
      <c r="AP7" s="12">
        <f>kWh!AP7*('Elec Rates'!AP7-'CS Rates'!AP7)</f>
        <v>0</v>
      </c>
      <c r="AQ7" s="12">
        <f t="shared" si="0"/>
        <v>2284.8728000000001</v>
      </c>
    </row>
    <row r="8" spans="1:44" x14ac:dyDescent="0.3">
      <c r="A8" s="4">
        <v>44440</v>
      </c>
      <c r="B8" s="12">
        <f>kWh!B8*('Elec Rates'!B8-'CS Rates'!B8)</f>
        <v>747.45</v>
      </c>
      <c r="C8" s="12">
        <f>kWh!C8*('Elec Rates'!C8-'CS Rates'!C8)</f>
        <v>74.98399999999998</v>
      </c>
      <c r="D8" s="12">
        <f>kWh!D8*('Elec Rates'!D8-'CS Rates'!D8)</f>
        <v>764.34499999999991</v>
      </c>
      <c r="E8" s="12">
        <f>kWh!E8*('Elec Rates'!E8-'CS Rates'!E8)</f>
        <v>0</v>
      </c>
      <c r="F8" s="12">
        <f>kWh!F8*('Elec Rates'!F8-'CS Rates'!F8)</f>
        <v>0</v>
      </c>
      <c r="G8" s="12">
        <f>kWh!G8*('Elec Rates'!G8-'CS Rates'!G8)</f>
        <v>0</v>
      </c>
      <c r="H8" s="12">
        <f>kWh!H8*('Elec Rates'!H8-'CS Rates'!H8)</f>
        <v>0</v>
      </c>
      <c r="I8" s="12">
        <f>kWh!I8*('Elec Rates'!I8-'CS Rates'!I8)</f>
        <v>0</v>
      </c>
      <c r="J8" s="12">
        <f>kWh!J8*('Elec Rates'!J8-'CS Rates'!J8)</f>
        <v>0</v>
      </c>
      <c r="K8" s="12">
        <f>kWh!K8*('Elec Rates'!K8-'CS Rates'!K8)</f>
        <v>0</v>
      </c>
      <c r="L8" s="12">
        <f>kWh!L8*('Elec Rates'!L8-'CS Rates'!L8)</f>
        <v>0</v>
      </c>
      <c r="M8" s="12">
        <f>kWh!M8*('Elec Rates'!M8-'CS Rates'!M8)</f>
        <v>0</v>
      </c>
      <c r="N8" s="12">
        <f>kWh!N8*('Elec Rates'!N8-'CS Rates'!N8)</f>
        <v>0</v>
      </c>
      <c r="O8" s="12">
        <f>kWh!O8*('Elec Rates'!O8-'CS Rates'!O8)</f>
        <v>0</v>
      </c>
      <c r="P8" s="12">
        <f>kWh!P8*('Elec Rates'!P8-'CS Rates'!P8)</f>
        <v>0</v>
      </c>
      <c r="Q8" s="12">
        <f>kWh!Q8*('Elec Rates'!Q8-'CS Rates'!Q8)</f>
        <v>0</v>
      </c>
      <c r="R8" s="12">
        <f>kWh!R8*('Elec Rates'!R8-'CS Rates'!R8)</f>
        <v>0</v>
      </c>
      <c r="S8" s="12">
        <f>kWh!S8*('Elec Rates'!S8-'CS Rates'!S8)</f>
        <v>0</v>
      </c>
      <c r="T8" s="12">
        <f>kWh!T8*('Elec Rates'!T8-'CS Rates'!T8)</f>
        <v>0</v>
      </c>
      <c r="U8" s="12">
        <f>kWh!U8*('Elec Rates'!U8-'CS Rates'!U8)</f>
        <v>0</v>
      </c>
      <c r="V8" s="12">
        <f>kWh!V8*('Elec Rates'!V8-'CS Rates'!V8)</f>
        <v>0</v>
      </c>
      <c r="W8" s="12">
        <f>kWh!W8*('Elec Rates'!W8-'CS Rates'!W8)</f>
        <v>0</v>
      </c>
      <c r="X8" s="12">
        <f>kWh!X8*('Elec Rates'!X8-'CS Rates'!X8)</f>
        <v>0</v>
      </c>
      <c r="Y8" s="12">
        <f>kWh!Y8*('Elec Rates'!Y8-'CS Rates'!Y8)</f>
        <v>0</v>
      </c>
      <c r="Z8" s="12">
        <f>kWh!Z8*('Elec Rates'!Z8-'CS Rates'!Z8)</f>
        <v>0</v>
      </c>
      <c r="AA8" s="12">
        <f>kWh!AA8*('Elec Rates'!AA8-'CS Rates'!AA8)</f>
        <v>0</v>
      </c>
      <c r="AB8" s="12">
        <f>kWh!AB8*('Elec Rates'!AB8-'CS Rates'!AB8)</f>
        <v>0</v>
      </c>
      <c r="AC8" s="12">
        <f>kWh!AC8*('Elec Rates'!AC8-'CS Rates'!AC8)</f>
        <v>0</v>
      </c>
      <c r="AD8" s="12">
        <f>kWh!AD8*('Elec Rates'!AD8-'CS Rates'!AD8)</f>
        <v>0</v>
      </c>
      <c r="AE8" s="12">
        <f>kWh!AE8*('Elec Rates'!AE8-'CS Rates'!AE8)</f>
        <v>0</v>
      </c>
      <c r="AF8" s="12">
        <f>kWh!AF8*('Elec Rates'!AF8-'CS Rates'!AF8)</f>
        <v>0</v>
      </c>
      <c r="AG8" s="12">
        <f>kWh!AG8*('Elec Rates'!AG8-'CS Rates'!AG8)</f>
        <v>0</v>
      </c>
      <c r="AH8" s="12">
        <f>kWh!AH8*('Elec Rates'!AH8-'CS Rates'!AH8)</f>
        <v>0</v>
      </c>
      <c r="AI8" s="12">
        <f>kWh!AI8*('Elec Rates'!AI8-'CS Rates'!AI8)</f>
        <v>0</v>
      </c>
      <c r="AJ8" s="12">
        <f>kWh!AJ8*('Elec Rates'!AJ8-'CS Rates'!AJ8)</f>
        <v>0</v>
      </c>
      <c r="AK8" s="12">
        <f>kWh!AK8*('Elec Rates'!AK8-'CS Rates'!AK8)</f>
        <v>0</v>
      </c>
      <c r="AL8" s="12">
        <f>kWh!AL8*('Elec Rates'!AL8-'CS Rates'!AL8)</f>
        <v>0</v>
      </c>
      <c r="AM8" s="12">
        <f>kWh!AM8*('Elec Rates'!AM8-'CS Rates'!AM8)</f>
        <v>0</v>
      </c>
      <c r="AN8" s="12">
        <f>kWh!AN8*('Elec Rates'!AN8-'CS Rates'!AN8)</f>
        <v>0</v>
      </c>
      <c r="AO8" s="12">
        <f>kWh!AO8*('Elec Rates'!AO8-'CS Rates'!AO8)</f>
        <v>0</v>
      </c>
      <c r="AP8" s="12">
        <f>kWh!AP8*('Elec Rates'!AP8-'CS Rates'!AP8)</f>
        <v>0</v>
      </c>
      <c r="AQ8" s="12">
        <f t="shared" si="0"/>
        <v>1586.779</v>
      </c>
    </row>
    <row r="9" spans="1:44" x14ac:dyDescent="0.3">
      <c r="A9" s="4">
        <v>44470</v>
      </c>
      <c r="B9" s="12">
        <f>kWh!B9*('Elec Rates'!B9-'CS Rates'!B9)</f>
        <v>161.78399999999996</v>
      </c>
      <c r="C9" s="12">
        <f>kWh!C9*('Elec Rates'!C9-'CS Rates'!C9)</f>
        <v>426.97199999999998</v>
      </c>
      <c r="D9" s="12">
        <f>kWh!D9*('Elec Rates'!D9-'CS Rates'!D9)</f>
        <v>194.99399999999989</v>
      </c>
      <c r="E9" s="12">
        <f>kWh!E9*('Elec Rates'!E9-'CS Rates'!E9)</f>
        <v>276.19199999999989</v>
      </c>
      <c r="F9" s="12">
        <f>kWh!F9*('Elec Rates'!F9-'CS Rates'!F9)</f>
        <v>0</v>
      </c>
      <c r="G9" s="12">
        <f>kWh!G9*('Elec Rates'!G9-'CS Rates'!G9)</f>
        <v>0</v>
      </c>
      <c r="H9" s="12">
        <f>kWh!H9*('Elec Rates'!H9-'CS Rates'!H9)</f>
        <v>0</v>
      </c>
      <c r="I9" s="12">
        <f>kWh!I9*('Elec Rates'!I9-'CS Rates'!I9)</f>
        <v>0</v>
      </c>
      <c r="J9" s="12">
        <f>kWh!J9*('Elec Rates'!J9-'CS Rates'!J9)</f>
        <v>0</v>
      </c>
      <c r="K9" s="12">
        <f>kWh!K9*('Elec Rates'!K9-'CS Rates'!K9)</f>
        <v>0</v>
      </c>
      <c r="L9" s="12">
        <f>kWh!L9*('Elec Rates'!L9-'CS Rates'!L9)</f>
        <v>0</v>
      </c>
      <c r="M9" s="12">
        <f>kWh!M9*('Elec Rates'!M9-'CS Rates'!M9)</f>
        <v>0</v>
      </c>
      <c r="N9" s="12">
        <f>kWh!N9*('Elec Rates'!N9-'CS Rates'!N9)</f>
        <v>0</v>
      </c>
      <c r="O9" s="12">
        <f>kWh!O9*('Elec Rates'!O9-'CS Rates'!O9)</f>
        <v>0</v>
      </c>
      <c r="P9" s="12">
        <f>kWh!P9*('Elec Rates'!P9-'CS Rates'!P9)</f>
        <v>0</v>
      </c>
      <c r="Q9" s="12">
        <f>kWh!Q9*('Elec Rates'!Q9-'CS Rates'!Q9)</f>
        <v>0</v>
      </c>
      <c r="R9" s="12">
        <f>kWh!R9*('Elec Rates'!R9-'CS Rates'!R9)</f>
        <v>0</v>
      </c>
      <c r="S9" s="12">
        <f>kWh!S9*('Elec Rates'!S9-'CS Rates'!S9)</f>
        <v>0</v>
      </c>
      <c r="T9" s="12">
        <f>kWh!T9*('Elec Rates'!T9-'CS Rates'!T9)</f>
        <v>0</v>
      </c>
      <c r="U9" s="12">
        <f>kWh!U9*('Elec Rates'!U9-'CS Rates'!U9)</f>
        <v>0</v>
      </c>
      <c r="V9" s="12">
        <f>kWh!V9*('Elec Rates'!V9-'CS Rates'!V9)</f>
        <v>0</v>
      </c>
      <c r="W9" s="12">
        <f>kWh!W9*('Elec Rates'!W9-'CS Rates'!W9)</f>
        <v>0</v>
      </c>
      <c r="X9" s="12">
        <f>kWh!X9*('Elec Rates'!X9-'CS Rates'!X9)</f>
        <v>0</v>
      </c>
      <c r="Y9" s="12">
        <f>kWh!Y9*('Elec Rates'!Y9-'CS Rates'!Y9)</f>
        <v>0</v>
      </c>
      <c r="Z9" s="12">
        <f>kWh!Z9*('Elec Rates'!Z9-'CS Rates'!Z9)</f>
        <v>0</v>
      </c>
      <c r="AA9" s="12">
        <f>kWh!AA9*('Elec Rates'!AA9-'CS Rates'!AA9)</f>
        <v>0</v>
      </c>
      <c r="AB9" s="12">
        <f>kWh!AB9*('Elec Rates'!AB9-'CS Rates'!AB9)</f>
        <v>0</v>
      </c>
      <c r="AC9" s="12">
        <f>kWh!AC9*('Elec Rates'!AC9-'CS Rates'!AC9)</f>
        <v>0</v>
      </c>
      <c r="AD9" s="12">
        <f>kWh!AD9*('Elec Rates'!AD9-'CS Rates'!AD9)</f>
        <v>0</v>
      </c>
      <c r="AE9" s="12">
        <f>kWh!AE9*('Elec Rates'!AE9-'CS Rates'!AE9)</f>
        <v>0</v>
      </c>
      <c r="AF9" s="12">
        <f>kWh!AF9*('Elec Rates'!AF9-'CS Rates'!AF9)</f>
        <v>0</v>
      </c>
      <c r="AG9" s="12">
        <f>kWh!AG9*('Elec Rates'!AG9-'CS Rates'!AG9)</f>
        <v>0</v>
      </c>
      <c r="AH9" s="12">
        <f>kWh!AH9*('Elec Rates'!AH9-'CS Rates'!AH9)</f>
        <v>0</v>
      </c>
      <c r="AI9" s="12">
        <f>kWh!AI9*('Elec Rates'!AI9-'CS Rates'!AI9)</f>
        <v>0</v>
      </c>
      <c r="AJ9" s="12">
        <f>kWh!AJ9*('Elec Rates'!AJ9-'CS Rates'!AJ9)</f>
        <v>0</v>
      </c>
      <c r="AK9" s="12">
        <f>kWh!AK9*('Elec Rates'!AK9-'CS Rates'!AK9)</f>
        <v>0</v>
      </c>
      <c r="AL9" s="12">
        <f>kWh!AL9*('Elec Rates'!AL9-'CS Rates'!AL9)</f>
        <v>0</v>
      </c>
      <c r="AM9" s="12">
        <f>kWh!AM9*('Elec Rates'!AM9-'CS Rates'!AM9)</f>
        <v>0</v>
      </c>
      <c r="AN9" s="12">
        <f>kWh!AN9*('Elec Rates'!AN9-'CS Rates'!AN9)</f>
        <v>0</v>
      </c>
      <c r="AO9" s="12">
        <f>kWh!AO9*('Elec Rates'!AO9-'CS Rates'!AO9)</f>
        <v>0</v>
      </c>
      <c r="AP9" s="12">
        <f>kWh!AP9*('Elec Rates'!AP9-'CS Rates'!AP9)</f>
        <v>0</v>
      </c>
      <c r="AQ9" s="12">
        <f t="shared" si="0"/>
        <v>1059.9419999999998</v>
      </c>
    </row>
    <row r="10" spans="1:44" x14ac:dyDescent="0.3">
      <c r="A10" s="4">
        <v>44501</v>
      </c>
      <c r="B10" s="12">
        <f>kWh!B10*('Elec Rates'!B10-'CS Rates'!B10)</f>
        <v>119.51999999999994</v>
      </c>
      <c r="C10" s="12">
        <f>kWh!C10*('Elec Rates'!C10-'CS Rates'!C10)</f>
        <v>276.54399999999998</v>
      </c>
      <c r="D10" s="12">
        <f>kWh!D10*('Elec Rates'!D10-'CS Rates'!D10)</f>
        <v>186.89399999999989</v>
      </c>
      <c r="E10" s="12">
        <f>kWh!E10*('Elec Rates'!E10-'CS Rates'!E10)</f>
        <v>270.3359999999999</v>
      </c>
      <c r="F10" s="12">
        <f>kWh!F10*('Elec Rates'!F10-'CS Rates'!F10)</f>
        <v>0</v>
      </c>
      <c r="G10" s="12">
        <f>kWh!G10*('Elec Rates'!G10-'CS Rates'!G10)</f>
        <v>0</v>
      </c>
      <c r="H10" s="12">
        <f>kWh!H10*('Elec Rates'!H10-'CS Rates'!H10)</f>
        <v>0</v>
      </c>
      <c r="I10" s="12">
        <f>kWh!I10*('Elec Rates'!I10-'CS Rates'!I10)</f>
        <v>0</v>
      </c>
      <c r="J10" s="12">
        <f>kWh!J10*('Elec Rates'!J10-'CS Rates'!J10)</f>
        <v>0</v>
      </c>
      <c r="K10" s="12">
        <f>kWh!K10*('Elec Rates'!K10-'CS Rates'!K10)</f>
        <v>0</v>
      </c>
      <c r="L10" s="12">
        <f>kWh!L10*('Elec Rates'!L10-'CS Rates'!L10)</f>
        <v>0</v>
      </c>
      <c r="M10" s="12">
        <f>kWh!M10*('Elec Rates'!M10-'CS Rates'!M10)</f>
        <v>0</v>
      </c>
      <c r="N10" s="12">
        <f>kWh!N10*('Elec Rates'!N10-'CS Rates'!N10)</f>
        <v>0</v>
      </c>
      <c r="O10" s="12">
        <f>kWh!O10*('Elec Rates'!O10-'CS Rates'!O10)</f>
        <v>0</v>
      </c>
      <c r="P10" s="12">
        <f>kWh!P10*('Elec Rates'!P10-'CS Rates'!P10)</f>
        <v>0</v>
      </c>
      <c r="Q10" s="12">
        <f>kWh!Q10*('Elec Rates'!Q10-'CS Rates'!Q10)</f>
        <v>0</v>
      </c>
      <c r="R10" s="12">
        <f>kWh!R10*('Elec Rates'!R10-'CS Rates'!R10)</f>
        <v>0</v>
      </c>
      <c r="S10" s="12">
        <f>kWh!S10*('Elec Rates'!S10-'CS Rates'!S10)</f>
        <v>0</v>
      </c>
      <c r="T10" s="12">
        <f>kWh!T10*('Elec Rates'!T10-'CS Rates'!T10)</f>
        <v>0</v>
      </c>
      <c r="U10" s="12">
        <f>kWh!U10*('Elec Rates'!U10-'CS Rates'!U10)</f>
        <v>0</v>
      </c>
      <c r="V10" s="12">
        <f>kWh!V10*('Elec Rates'!V10-'CS Rates'!V10)</f>
        <v>0</v>
      </c>
      <c r="W10" s="12">
        <f>kWh!W10*('Elec Rates'!W10-'CS Rates'!W10)</f>
        <v>0</v>
      </c>
      <c r="X10" s="12">
        <f>kWh!X10*('Elec Rates'!X10-'CS Rates'!X10)</f>
        <v>0</v>
      </c>
      <c r="Y10" s="12">
        <f>kWh!Y10*('Elec Rates'!Y10-'CS Rates'!Y10)</f>
        <v>0</v>
      </c>
      <c r="Z10" s="12">
        <f>kWh!Z10*('Elec Rates'!Z10-'CS Rates'!Z10)</f>
        <v>0</v>
      </c>
      <c r="AA10" s="12">
        <f>kWh!AA10*('Elec Rates'!AA10-'CS Rates'!AA10)</f>
        <v>0</v>
      </c>
      <c r="AB10" s="12">
        <f>kWh!AB10*('Elec Rates'!AB10-'CS Rates'!AB10)</f>
        <v>0</v>
      </c>
      <c r="AC10" s="12">
        <f>kWh!AC10*('Elec Rates'!AC10-'CS Rates'!AC10)</f>
        <v>0</v>
      </c>
      <c r="AD10" s="12">
        <f>kWh!AD10*('Elec Rates'!AD10-'CS Rates'!AD10)</f>
        <v>0</v>
      </c>
      <c r="AE10" s="12">
        <f>kWh!AE10*('Elec Rates'!AE10-'CS Rates'!AE10)</f>
        <v>0</v>
      </c>
      <c r="AF10" s="12">
        <f>kWh!AF10*('Elec Rates'!AF10-'CS Rates'!AF10)</f>
        <v>0</v>
      </c>
      <c r="AG10" s="12">
        <f>kWh!AG10*('Elec Rates'!AG10-'CS Rates'!AG10)</f>
        <v>0</v>
      </c>
      <c r="AH10" s="12">
        <f>kWh!AH10*('Elec Rates'!AH10-'CS Rates'!AH10)</f>
        <v>0</v>
      </c>
      <c r="AI10" s="12">
        <f>kWh!AI10*('Elec Rates'!AI10-'CS Rates'!AI10)</f>
        <v>0</v>
      </c>
      <c r="AJ10" s="12">
        <f>kWh!AJ10*('Elec Rates'!AJ10-'CS Rates'!AJ10)</f>
        <v>0</v>
      </c>
      <c r="AK10" s="12">
        <f>kWh!AK10*('Elec Rates'!AK10-'CS Rates'!AK10)</f>
        <v>0</v>
      </c>
      <c r="AL10" s="12">
        <f>kWh!AL10*('Elec Rates'!AL10-'CS Rates'!AL10)</f>
        <v>0</v>
      </c>
      <c r="AM10" s="12">
        <f>kWh!AM10*('Elec Rates'!AM10-'CS Rates'!AM10)</f>
        <v>0</v>
      </c>
      <c r="AN10" s="12">
        <f>kWh!AN10*('Elec Rates'!AN10-'CS Rates'!AN10)</f>
        <v>0</v>
      </c>
      <c r="AO10" s="12">
        <f>kWh!AO10*('Elec Rates'!AO10-'CS Rates'!AO10)</f>
        <v>0</v>
      </c>
      <c r="AP10" s="12">
        <f>kWh!AP10*('Elec Rates'!AP10-'CS Rates'!AP10)</f>
        <v>0</v>
      </c>
      <c r="AQ10" s="12">
        <f t="shared" si="0"/>
        <v>853.29399999999976</v>
      </c>
    </row>
    <row r="11" spans="1:44" x14ac:dyDescent="0.3">
      <c r="A11" s="4">
        <v>44531</v>
      </c>
      <c r="B11" s="12">
        <f>kWh!B11*('Elec Rates'!B11-'CS Rates'!B11)</f>
        <v>82.391999999999982</v>
      </c>
      <c r="C11" s="12">
        <f>kWh!C11*('Elec Rates'!C11-'CS Rates'!C11)</f>
        <v>137.74999999999997</v>
      </c>
      <c r="D11" s="12">
        <f>kWh!D11*('Elec Rates'!D11-'CS Rates'!D11)</f>
        <v>99.27999999999993</v>
      </c>
      <c r="E11" s="12">
        <f>kWh!E11*('Elec Rates'!E11-'CS Rates'!E11)</f>
        <v>178.82799999999997</v>
      </c>
      <c r="F11" s="12">
        <f>kWh!F11*('Elec Rates'!F11-'CS Rates'!F11)</f>
        <v>164.86499999999998</v>
      </c>
      <c r="G11" s="12">
        <f>kWh!G11*('Elec Rates'!G11-'CS Rates'!G11)</f>
        <v>99.862000000000009</v>
      </c>
      <c r="H11" s="12">
        <f>kWh!H11*('Elec Rates'!H11-'CS Rates'!H11)</f>
        <v>0</v>
      </c>
      <c r="I11" s="12">
        <f>kWh!I11*('Elec Rates'!I11-'CS Rates'!I11)</f>
        <v>0</v>
      </c>
      <c r="J11" s="12">
        <f>kWh!J11*('Elec Rates'!J11-'CS Rates'!J11)</f>
        <v>0</v>
      </c>
      <c r="K11" s="12">
        <f>kWh!K11*('Elec Rates'!K11-'CS Rates'!K11)</f>
        <v>0</v>
      </c>
      <c r="L11" s="12">
        <f>kWh!L11*('Elec Rates'!L11-'CS Rates'!L11)</f>
        <v>0</v>
      </c>
      <c r="M11" s="12">
        <f>kWh!M11*('Elec Rates'!M11-'CS Rates'!M11)</f>
        <v>0</v>
      </c>
      <c r="N11" s="12">
        <f>kWh!N11*('Elec Rates'!N11-'CS Rates'!N11)</f>
        <v>0</v>
      </c>
      <c r="O11" s="12">
        <f>kWh!O11*('Elec Rates'!O11-'CS Rates'!O11)</f>
        <v>0</v>
      </c>
      <c r="P11" s="12">
        <f>kWh!P11*('Elec Rates'!P11-'CS Rates'!P11)</f>
        <v>0</v>
      </c>
      <c r="Q11" s="12">
        <f>kWh!Q11*('Elec Rates'!Q11-'CS Rates'!Q11)</f>
        <v>0</v>
      </c>
      <c r="R11" s="12">
        <f>kWh!R11*('Elec Rates'!R11-'CS Rates'!R11)</f>
        <v>0</v>
      </c>
      <c r="S11" s="12">
        <f>kWh!S11*('Elec Rates'!S11-'CS Rates'!S11)</f>
        <v>0</v>
      </c>
      <c r="T11" s="12">
        <f>kWh!T11*('Elec Rates'!T11-'CS Rates'!T11)</f>
        <v>0</v>
      </c>
      <c r="U11" s="12">
        <f>kWh!U11*('Elec Rates'!U11-'CS Rates'!U11)</f>
        <v>0</v>
      </c>
      <c r="V11" s="12">
        <f>kWh!V11*('Elec Rates'!V11-'CS Rates'!V11)</f>
        <v>0</v>
      </c>
      <c r="W11" s="12">
        <f>kWh!W11*('Elec Rates'!W11-'CS Rates'!W11)</f>
        <v>0</v>
      </c>
      <c r="X11" s="12">
        <f>kWh!X11*('Elec Rates'!X11-'CS Rates'!X11)</f>
        <v>0</v>
      </c>
      <c r="Y11" s="12">
        <f>kWh!Y11*('Elec Rates'!Y11-'CS Rates'!Y11)</f>
        <v>0</v>
      </c>
      <c r="Z11" s="12">
        <f>kWh!Z11*('Elec Rates'!Z11-'CS Rates'!Z11)</f>
        <v>0</v>
      </c>
      <c r="AA11" s="12">
        <f>kWh!AA11*('Elec Rates'!AA11-'CS Rates'!AA11)</f>
        <v>0</v>
      </c>
      <c r="AB11" s="12">
        <f>kWh!AB11*('Elec Rates'!AB11-'CS Rates'!AB11)</f>
        <v>0</v>
      </c>
      <c r="AC11" s="12">
        <f>kWh!AC11*('Elec Rates'!AC11-'CS Rates'!AC11)</f>
        <v>0</v>
      </c>
      <c r="AD11" s="12">
        <f>kWh!AD11*('Elec Rates'!AD11-'CS Rates'!AD11)</f>
        <v>0</v>
      </c>
      <c r="AE11" s="12">
        <f>kWh!AE11*('Elec Rates'!AE11-'CS Rates'!AE11)</f>
        <v>0</v>
      </c>
      <c r="AF11" s="12">
        <f>kWh!AF11*('Elec Rates'!AF11-'CS Rates'!AF11)</f>
        <v>0</v>
      </c>
      <c r="AG11" s="12">
        <f>kWh!AG11*('Elec Rates'!AG11-'CS Rates'!AG11)</f>
        <v>0</v>
      </c>
      <c r="AH11" s="12">
        <f>kWh!AH11*('Elec Rates'!AH11-'CS Rates'!AH11)</f>
        <v>0</v>
      </c>
      <c r="AI11" s="12">
        <f>kWh!AI11*('Elec Rates'!AI11-'CS Rates'!AI11)</f>
        <v>0</v>
      </c>
      <c r="AJ11" s="12">
        <f>kWh!AJ11*('Elec Rates'!AJ11-'CS Rates'!AJ11)</f>
        <v>0</v>
      </c>
      <c r="AK11" s="12">
        <f>kWh!AK11*('Elec Rates'!AK11-'CS Rates'!AK11)</f>
        <v>0</v>
      </c>
      <c r="AL11" s="12">
        <f>kWh!AL11*('Elec Rates'!AL11-'CS Rates'!AL11)</f>
        <v>0</v>
      </c>
      <c r="AM11" s="12">
        <f>kWh!AM11*('Elec Rates'!AM11-'CS Rates'!AM11)</f>
        <v>0</v>
      </c>
      <c r="AN11" s="12">
        <f>kWh!AN11*('Elec Rates'!AN11-'CS Rates'!AN11)</f>
        <v>0</v>
      </c>
      <c r="AO11" s="12">
        <f>kWh!AO11*('Elec Rates'!AO11-'CS Rates'!AO11)</f>
        <v>0</v>
      </c>
      <c r="AP11" s="12">
        <f>kWh!AP11*('Elec Rates'!AP11-'CS Rates'!AP11)</f>
        <v>0</v>
      </c>
      <c r="AQ11" s="12">
        <f t="shared" si="0"/>
        <v>762.97699999999975</v>
      </c>
    </row>
    <row r="12" spans="1:44" x14ac:dyDescent="0.3">
      <c r="A12" s="4">
        <v>44562</v>
      </c>
      <c r="B12" s="12">
        <f>kWh!B12*('Elec Rates'!B12-'CS Rates'!B12)</f>
        <v>212.87199999999999</v>
      </c>
      <c r="C12" s="12">
        <f>kWh!C12*('Elec Rates'!C12-'CS Rates'!C12)</f>
        <v>214.16199999999995</v>
      </c>
      <c r="D12" s="12">
        <f>kWh!D12*('Elec Rates'!D12-'CS Rates'!D12)</f>
        <v>154.8719999999999</v>
      </c>
      <c r="E12" s="12">
        <f>kWh!E12*('Elec Rates'!E12-'CS Rates'!E12)</f>
        <v>567.9319999999999</v>
      </c>
      <c r="F12" s="12">
        <f>kWh!F12*('Elec Rates'!F12-'CS Rates'!F12)</f>
        <v>252.798</v>
      </c>
      <c r="G12" s="12">
        <f>kWh!G12*('Elec Rates'!G12-'CS Rates'!G12)</f>
        <v>50.027999999999984</v>
      </c>
      <c r="H12" s="12">
        <f>kWh!H12*('Elec Rates'!H12-'CS Rates'!H12)</f>
        <v>0</v>
      </c>
      <c r="I12" s="12">
        <f>kWh!I12*('Elec Rates'!I12-'CS Rates'!I12)</f>
        <v>0</v>
      </c>
      <c r="J12" s="12">
        <f>kWh!J12*('Elec Rates'!J12-'CS Rates'!J12)</f>
        <v>0</v>
      </c>
      <c r="K12" s="12">
        <f>kWh!K12*('Elec Rates'!K12-'CS Rates'!K12)</f>
        <v>0</v>
      </c>
      <c r="L12" s="12">
        <f>kWh!L12*('Elec Rates'!L12-'CS Rates'!L12)</f>
        <v>0</v>
      </c>
      <c r="M12" s="12">
        <f>kWh!M12*('Elec Rates'!M12-'CS Rates'!M12)</f>
        <v>0</v>
      </c>
      <c r="N12" s="12">
        <f>kWh!N12*('Elec Rates'!N12-'CS Rates'!N12)</f>
        <v>0</v>
      </c>
      <c r="O12" s="12">
        <f>kWh!O12*('Elec Rates'!O12-'CS Rates'!O12)</f>
        <v>0</v>
      </c>
      <c r="P12" s="12">
        <f>kWh!P12*('Elec Rates'!P12-'CS Rates'!P12)</f>
        <v>0</v>
      </c>
      <c r="Q12" s="12">
        <f>kWh!Q12*('Elec Rates'!Q12-'CS Rates'!Q12)</f>
        <v>0</v>
      </c>
      <c r="R12" s="12">
        <f>kWh!R12*('Elec Rates'!R12-'CS Rates'!R12)</f>
        <v>0</v>
      </c>
      <c r="S12" s="12">
        <f>kWh!S12*('Elec Rates'!S12-'CS Rates'!S12)</f>
        <v>0</v>
      </c>
      <c r="T12" s="12">
        <f>kWh!T12*('Elec Rates'!T12-'CS Rates'!T12)</f>
        <v>0</v>
      </c>
      <c r="U12" s="12">
        <f>kWh!U12*('Elec Rates'!U12-'CS Rates'!U12)</f>
        <v>0</v>
      </c>
      <c r="V12" s="12">
        <f>kWh!V12*('Elec Rates'!V12-'CS Rates'!V12)</f>
        <v>0</v>
      </c>
      <c r="W12" s="12">
        <f>kWh!W12*('Elec Rates'!W12-'CS Rates'!W12)</f>
        <v>0</v>
      </c>
      <c r="X12" s="12">
        <f>kWh!X12*('Elec Rates'!X12-'CS Rates'!X12)</f>
        <v>0</v>
      </c>
      <c r="Y12" s="12">
        <f>kWh!Y12*('Elec Rates'!Y12-'CS Rates'!Y12)</f>
        <v>0</v>
      </c>
      <c r="Z12" s="12">
        <f>kWh!Z12*('Elec Rates'!Z12-'CS Rates'!Z12)</f>
        <v>0</v>
      </c>
      <c r="AA12" s="12">
        <f>kWh!AA12*('Elec Rates'!AA12-'CS Rates'!AA12)</f>
        <v>0</v>
      </c>
      <c r="AB12" s="12">
        <f>kWh!AB12*('Elec Rates'!AB12-'CS Rates'!AB12)</f>
        <v>0</v>
      </c>
      <c r="AC12" s="12">
        <f>kWh!AC12*('Elec Rates'!AC12-'CS Rates'!AC12)</f>
        <v>0</v>
      </c>
      <c r="AD12" s="12">
        <f>kWh!AD12*('Elec Rates'!AD12-'CS Rates'!AD12)</f>
        <v>0</v>
      </c>
      <c r="AE12" s="12">
        <f>kWh!AE12*('Elec Rates'!AE12-'CS Rates'!AE12)</f>
        <v>0</v>
      </c>
      <c r="AF12" s="12">
        <f>kWh!AF12*('Elec Rates'!AF12-'CS Rates'!AF12)</f>
        <v>0</v>
      </c>
      <c r="AG12" s="12">
        <f>kWh!AG12*('Elec Rates'!AG12-'CS Rates'!AG12)</f>
        <v>0</v>
      </c>
      <c r="AH12" s="12">
        <f>kWh!AH12*('Elec Rates'!AH12-'CS Rates'!AH12)</f>
        <v>0</v>
      </c>
      <c r="AI12" s="12">
        <f>kWh!AI12*('Elec Rates'!AI12-'CS Rates'!AI12)</f>
        <v>0</v>
      </c>
      <c r="AJ12" s="12">
        <f>kWh!AJ12*('Elec Rates'!AJ12-'CS Rates'!AJ12)</f>
        <v>0</v>
      </c>
      <c r="AK12" s="12">
        <f>kWh!AK12*('Elec Rates'!AK12-'CS Rates'!AK12)</f>
        <v>0</v>
      </c>
      <c r="AL12" s="12">
        <f>kWh!AL12*('Elec Rates'!AL12-'CS Rates'!AL12)</f>
        <v>0</v>
      </c>
      <c r="AM12" s="12">
        <f>kWh!AM12*('Elec Rates'!AM12-'CS Rates'!AM12)</f>
        <v>0</v>
      </c>
      <c r="AN12" s="12">
        <f>kWh!AN12*('Elec Rates'!AN12-'CS Rates'!AN12)</f>
        <v>0</v>
      </c>
      <c r="AO12" s="12">
        <f>kWh!AO12*('Elec Rates'!AO12-'CS Rates'!AO12)</f>
        <v>0</v>
      </c>
      <c r="AP12" s="12">
        <f>kWh!AP12*('Elec Rates'!AP12-'CS Rates'!AP12)</f>
        <v>0</v>
      </c>
      <c r="AQ12" s="12">
        <f t="shared" si="0"/>
        <v>1452.6639999999998</v>
      </c>
    </row>
    <row r="13" spans="1:44" x14ac:dyDescent="0.3">
      <c r="A13" s="4">
        <v>44593</v>
      </c>
      <c r="B13" s="12">
        <f>kWh!B13*('Elec Rates'!B13-'CS Rates'!B13)</f>
        <v>257.00399999999996</v>
      </c>
      <c r="C13" s="12">
        <f>kWh!C13*('Elec Rates'!C13-'CS Rates'!C13)</f>
        <v>349.64999999999992</v>
      </c>
      <c r="D13" s="12">
        <f>kWh!D13*('Elec Rates'!D13-'CS Rates'!D13)</f>
        <v>171.2879999999999</v>
      </c>
      <c r="E13" s="12">
        <f>kWh!E13*('Elec Rates'!E13-'CS Rates'!E13)</f>
        <v>644.68399999999997</v>
      </c>
      <c r="F13" s="12">
        <f>kWh!F13*('Elec Rates'!F13-'CS Rates'!F13)</f>
        <v>274.68399999999997</v>
      </c>
      <c r="G13" s="12">
        <f>kWh!G13*('Elec Rates'!G13-'CS Rates'!G13)</f>
        <v>148.98399999999998</v>
      </c>
      <c r="H13" s="12">
        <f>kWh!H13*('Elec Rates'!H13-'CS Rates'!H13)</f>
        <v>0</v>
      </c>
      <c r="I13" s="12">
        <f>kWh!I13*('Elec Rates'!I13-'CS Rates'!I13)</f>
        <v>0</v>
      </c>
      <c r="J13" s="12">
        <f>kWh!J13*('Elec Rates'!J13-'CS Rates'!J13)</f>
        <v>0</v>
      </c>
      <c r="K13" s="12">
        <f>kWh!K13*('Elec Rates'!K13-'CS Rates'!K13)</f>
        <v>0</v>
      </c>
      <c r="L13" s="12">
        <f>kWh!L13*('Elec Rates'!L13-'CS Rates'!L13)</f>
        <v>0</v>
      </c>
      <c r="M13" s="12">
        <f>kWh!M13*('Elec Rates'!M13-'CS Rates'!M13)</f>
        <v>0</v>
      </c>
      <c r="N13" s="12">
        <f>kWh!N13*('Elec Rates'!N13-'CS Rates'!N13)</f>
        <v>0</v>
      </c>
      <c r="O13" s="12">
        <f>kWh!O13*('Elec Rates'!O13-'CS Rates'!O13)</f>
        <v>0</v>
      </c>
      <c r="P13" s="12">
        <f>kWh!P13*('Elec Rates'!P13-'CS Rates'!P13)</f>
        <v>0</v>
      </c>
      <c r="Q13" s="12">
        <f>kWh!Q13*('Elec Rates'!Q13-'CS Rates'!Q13)</f>
        <v>0</v>
      </c>
      <c r="R13" s="12">
        <f>kWh!R13*('Elec Rates'!R13-'CS Rates'!R13)</f>
        <v>0</v>
      </c>
      <c r="S13" s="12">
        <f>kWh!S13*('Elec Rates'!S13-'CS Rates'!S13)</f>
        <v>0</v>
      </c>
      <c r="T13" s="12">
        <f>kWh!T13*('Elec Rates'!T13-'CS Rates'!T13)</f>
        <v>0</v>
      </c>
      <c r="U13" s="12">
        <f>kWh!U13*('Elec Rates'!U13-'CS Rates'!U13)</f>
        <v>0</v>
      </c>
      <c r="V13" s="12">
        <f>kWh!V13*('Elec Rates'!V13-'CS Rates'!V13)</f>
        <v>0</v>
      </c>
      <c r="W13" s="12">
        <f>kWh!W13*('Elec Rates'!W13-'CS Rates'!W13)</f>
        <v>0</v>
      </c>
      <c r="X13" s="12">
        <f>kWh!X13*('Elec Rates'!X13-'CS Rates'!X13)</f>
        <v>0</v>
      </c>
      <c r="Y13" s="12">
        <f>kWh!Y13*('Elec Rates'!Y13-'CS Rates'!Y13)</f>
        <v>0</v>
      </c>
      <c r="Z13" s="12">
        <f>kWh!Z13*('Elec Rates'!Z13-'CS Rates'!Z13)</f>
        <v>0</v>
      </c>
      <c r="AA13" s="12">
        <f>kWh!AA13*('Elec Rates'!AA13-'CS Rates'!AA13)</f>
        <v>0</v>
      </c>
      <c r="AB13" s="12">
        <f>kWh!AB13*('Elec Rates'!AB13-'CS Rates'!AB13)</f>
        <v>0</v>
      </c>
      <c r="AC13" s="12">
        <f>kWh!AC13*('Elec Rates'!AC13-'CS Rates'!AC13)</f>
        <v>0</v>
      </c>
      <c r="AD13" s="12">
        <f>kWh!AD13*('Elec Rates'!AD13-'CS Rates'!AD13)</f>
        <v>0</v>
      </c>
      <c r="AE13" s="12">
        <f>kWh!AE13*('Elec Rates'!AE13-'CS Rates'!AE13)</f>
        <v>0</v>
      </c>
      <c r="AF13" s="12">
        <f>kWh!AF13*('Elec Rates'!AF13-'CS Rates'!AF13)</f>
        <v>0</v>
      </c>
      <c r="AG13" s="12">
        <f>kWh!AG13*('Elec Rates'!AG13-'CS Rates'!AG13)</f>
        <v>0</v>
      </c>
      <c r="AH13" s="12">
        <f>kWh!AH13*('Elec Rates'!AH13-'CS Rates'!AH13)</f>
        <v>0</v>
      </c>
      <c r="AI13" s="12">
        <f>kWh!AI13*('Elec Rates'!AI13-'CS Rates'!AI13)</f>
        <v>0</v>
      </c>
      <c r="AJ13" s="12">
        <f>kWh!AJ13*('Elec Rates'!AJ13-'CS Rates'!AJ13)</f>
        <v>0</v>
      </c>
      <c r="AK13" s="12">
        <f>kWh!AK13*('Elec Rates'!AK13-'CS Rates'!AK13)</f>
        <v>0</v>
      </c>
      <c r="AL13" s="12">
        <f>kWh!AL13*('Elec Rates'!AL13-'CS Rates'!AL13)</f>
        <v>0</v>
      </c>
      <c r="AM13" s="12">
        <f>kWh!AM13*('Elec Rates'!AM13-'CS Rates'!AM13)</f>
        <v>0</v>
      </c>
      <c r="AN13" s="12">
        <f>kWh!AN13*('Elec Rates'!AN13-'CS Rates'!AN13)</f>
        <v>0</v>
      </c>
      <c r="AO13" s="12">
        <f>kWh!AO13*('Elec Rates'!AO13-'CS Rates'!AO13)</f>
        <v>0</v>
      </c>
      <c r="AP13" s="12">
        <f>kWh!AP13*('Elec Rates'!AP13-'CS Rates'!AP13)</f>
        <v>0</v>
      </c>
      <c r="AQ13" s="12">
        <f t="shared" si="0"/>
        <v>1846.2939999999996</v>
      </c>
    </row>
    <row r="14" spans="1:44" x14ac:dyDescent="0.3">
      <c r="A14" s="4">
        <v>44621</v>
      </c>
      <c r="B14" s="12">
        <f>kWh!B14*('Elec Rates'!B14-'CS Rates'!B14)</f>
        <v>429.20799999999991</v>
      </c>
      <c r="C14" s="12">
        <f>kWh!C14*('Elec Rates'!C14-'CS Rates'!C14)</f>
        <v>579.30599999999993</v>
      </c>
      <c r="D14" s="12">
        <f>kWh!D14*('Elec Rates'!D14-'CS Rates'!D14)</f>
        <v>249.64199999999983</v>
      </c>
      <c r="E14" s="12">
        <f>kWh!E14*('Elec Rates'!E14-'CS Rates'!E14)</f>
        <v>253.87399999999991</v>
      </c>
      <c r="F14" s="12">
        <f>kWh!F14*('Elec Rates'!F14-'CS Rates'!F14)</f>
        <v>442.47</v>
      </c>
      <c r="G14" s="12">
        <f>kWh!G14*('Elec Rates'!G14-'CS Rates'!G14)</f>
        <v>76.607999999999961</v>
      </c>
      <c r="H14" s="12">
        <f>kWh!H14*('Elec Rates'!H14-'CS Rates'!H14)</f>
        <v>513.4319999999999</v>
      </c>
      <c r="I14" s="12">
        <f>kWh!I14*('Elec Rates'!I14-'CS Rates'!I14)</f>
        <v>0</v>
      </c>
      <c r="J14" s="12">
        <f>kWh!J14*('Elec Rates'!J14-'CS Rates'!J14)</f>
        <v>0</v>
      </c>
      <c r="K14" s="12">
        <f>kWh!K14*('Elec Rates'!K14-'CS Rates'!K14)</f>
        <v>0</v>
      </c>
      <c r="L14" s="12">
        <f>kWh!L14*('Elec Rates'!L14-'CS Rates'!L14)</f>
        <v>0</v>
      </c>
      <c r="M14" s="12">
        <f>kWh!M14*('Elec Rates'!M14-'CS Rates'!M14)</f>
        <v>0</v>
      </c>
      <c r="N14" s="12">
        <f>kWh!N14*('Elec Rates'!N14-'CS Rates'!N14)</f>
        <v>0</v>
      </c>
      <c r="O14" s="12">
        <f>kWh!O14*('Elec Rates'!O14-'CS Rates'!O14)</f>
        <v>0</v>
      </c>
      <c r="P14" s="12">
        <f>kWh!P14*('Elec Rates'!P14-'CS Rates'!P14)</f>
        <v>0</v>
      </c>
      <c r="Q14" s="12">
        <f>kWh!Q14*('Elec Rates'!Q14-'CS Rates'!Q14)</f>
        <v>0</v>
      </c>
      <c r="R14" s="12">
        <f>kWh!R14*('Elec Rates'!R14-'CS Rates'!R14)</f>
        <v>0</v>
      </c>
      <c r="S14" s="12">
        <f>kWh!S14*('Elec Rates'!S14-'CS Rates'!S14)</f>
        <v>0</v>
      </c>
      <c r="T14" s="12">
        <f>kWh!T14*('Elec Rates'!T14-'CS Rates'!T14)</f>
        <v>0</v>
      </c>
      <c r="U14" s="12">
        <f>kWh!U14*('Elec Rates'!U14-'CS Rates'!U14)</f>
        <v>0</v>
      </c>
      <c r="V14" s="12">
        <f>kWh!V14*('Elec Rates'!V14-'CS Rates'!V14)</f>
        <v>0</v>
      </c>
      <c r="W14" s="12">
        <f>kWh!W14*('Elec Rates'!W14-'CS Rates'!W14)</f>
        <v>0</v>
      </c>
      <c r="X14" s="12">
        <f>kWh!X14*('Elec Rates'!X14-'CS Rates'!X14)</f>
        <v>0</v>
      </c>
      <c r="Y14" s="12">
        <f>kWh!Y14*('Elec Rates'!Y14-'CS Rates'!Y14)</f>
        <v>0</v>
      </c>
      <c r="Z14" s="12">
        <f>kWh!Z14*('Elec Rates'!Z14-'CS Rates'!Z14)</f>
        <v>0</v>
      </c>
      <c r="AA14" s="12">
        <f>kWh!AA14*('Elec Rates'!AA14-'CS Rates'!AA14)</f>
        <v>0</v>
      </c>
      <c r="AB14" s="12">
        <f>kWh!AB14*('Elec Rates'!AB14-'CS Rates'!AB14)</f>
        <v>0</v>
      </c>
      <c r="AC14" s="12">
        <f>kWh!AC14*('Elec Rates'!AC14-'CS Rates'!AC14)</f>
        <v>0</v>
      </c>
      <c r="AD14" s="12">
        <f>kWh!AD14*('Elec Rates'!AD14-'CS Rates'!AD14)</f>
        <v>0</v>
      </c>
      <c r="AE14" s="12">
        <f>kWh!AE14*('Elec Rates'!AE14-'CS Rates'!AE14)</f>
        <v>0</v>
      </c>
      <c r="AF14" s="12">
        <f>kWh!AF14*('Elec Rates'!AF14-'CS Rates'!AF14)</f>
        <v>0</v>
      </c>
      <c r="AG14" s="12">
        <f>kWh!AG14*('Elec Rates'!AG14-'CS Rates'!AG14)</f>
        <v>0</v>
      </c>
      <c r="AH14" s="12">
        <f>kWh!AH14*('Elec Rates'!AH14-'CS Rates'!AH14)</f>
        <v>0</v>
      </c>
      <c r="AI14" s="12">
        <f>kWh!AI14*('Elec Rates'!AI14-'CS Rates'!AI14)</f>
        <v>0</v>
      </c>
      <c r="AJ14" s="12">
        <f>kWh!AJ14*('Elec Rates'!AJ14-'CS Rates'!AJ14)</f>
        <v>0</v>
      </c>
      <c r="AK14" s="12">
        <f>kWh!AK14*('Elec Rates'!AK14-'CS Rates'!AK14)</f>
        <v>0</v>
      </c>
      <c r="AL14" s="12">
        <f>kWh!AL14*('Elec Rates'!AL14-'CS Rates'!AL14)</f>
        <v>0</v>
      </c>
      <c r="AM14" s="12">
        <f>kWh!AM14*('Elec Rates'!AM14-'CS Rates'!AM14)</f>
        <v>0</v>
      </c>
      <c r="AN14" s="12">
        <f>kWh!AN14*('Elec Rates'!AN14-'CS Rates'!AN14)</f>
        <v>0</v>
      </c>
      <c r="AO14" s="12">
        <f>kWh!AO14*('Elec Rates'!AO14-'CS Rates'!AO14)</f>
        <v>0</v>
      </c>
      <c r="AP14" s="12">
        <f>kWh!AP14*('Elec Rates'!AP14-'CS Rates'!AP14)</f>
        <v>0</v>
      </c>
      <c r="AQ14" s="12">
        <f t="shared" si="0"/>
        <v>2544.5399999999995</v>
      </c>
    </row>
    <row r="15" spans="1:44" x14ac:dyDescent="0.3">
      <c r="A15" s="4">
        <v>44652</v>
      </c>
      <c r="B15" s="12">
        <f>kWh!B15*('Elec Rates'!B15-'CS Rates'!B15)</f>
        <v>444.81510000000003</v>
      </c>
      <c r="C15" s="12">
        <f>kWh!C15*('Elec Rates'!C15-'CS Rates'!C15)</f>
        <v>363.90320000000008</v>
      </c>
      <c r="D15" s="12">
        <f>kWh!D15*('Elec Rates'!D15-'CS Rates'!D15)</f>
        <v>252.36769999999999</v>
      </c>
      <c r="E15" s="12">
        <f>kWh!E15*('Elec Rates'!E15-'CS Rates'!E15)</f>
        <v>240.49999999999989</v>
      </c>
      <c r="F15" s="12">
        <f>kWh!F15*('Elec Rates'!F15-'CS Rates'!F15)</f>
        <v>503.25799999999992</v>
      </c>
      <c r="G15" s="12">
        <f>kWh!G15*('Elec Rates'!G15-'CS Rates'!G15)</f>
        <v>83.093999999999966</v>
      </c>
      <c r="H15" s="12">
        <f>kWh!H15*('Elec Rates'!H15-'CS Rates'!H15)</f>
        <v>1388.7999999999997</v>
      </c>
      <c r="I15" s="12">
        <f>kWh!I15*('Elec Rates'!I15-'CS Rates'!I15)</f>
        <v>0</v>
      </c>
      <c r="J15" s="12">
        <f>kWh!J15*('Elec Rates'!J15-'CS Rates'!J15)</f>
        <v>0</v>
      </c>
      <c r="K15" s="12">
        <f>kWh!K15*('Elec Rates'!K15-'CS Rates'!K15)</f>
        <v>0</v>
      </c>
      <c r="L15" s="12">
        <f>kWh!L15*('Elec Rates'!L15-'CS Rates'!L15)</f>
        <v>0</v>
      </c>
      <c r="M15" s="12">
        <f>kWh!M15*('Elec Rates'!M15-'CS Rates'!M15)</f>
        <v>0</v>
      </c>
      <c r="N15" s="12">
        <f>kWh!N15*('Elec Rates'!N15-'CS Rates'!N15)</f>
        <v>0</v>
      </c>
      <c r="O15" s="12">
        <f>kWh!O15*('Elec Rates'!O15-'CS Rates'!O15)</f>
        <v>0</v>
      </c>
      <c r="P15" s="12">
        <f>kWh!P15*('Elec Rates'!P15-'CS Rates'!P15)</f>
        <v>0</v>
      </c>
      <c r="Q15" s="12">
        <f>kWh!Q15*('Elec Rates'!Q15-'CS Rates'!Q15)</f>
        <v>0</v>
      </c>
      <c r="R15" s="12">
        <f>kWh!R15*('Elec Rates'!R15-'CS Rates'!R15)</f>
        <v>0</v>
      </c>
      <c r="S15" s="12">
        <f>kWh!S15*('Elec Rates'!S15-'CS Rates'!S15)</f>
        <v>0</v>
      </c>
      <c r="T15" s="12">
        <f>kWh!T15*('Elec Rates'!T15-'CS Rates'!T15)</f>
        <v>0</v>
      </c>
      <c r="U15" s="12">
        <f>kWh!U15*('Elec Rates'!U15-'CS Rates'!U15)</f>
        <v>0</v>
      </c>
      <c r="V15" s="12">
        <f>kWh!V15*('Elec Rates'!V15-'CS Rates'!V15)</f>
        <v>0</v>
      </c>
      <c r="W15" s="12">
        <f>kWh!W15*('Elec Rates'!W15-'CS Rates'!W15)</f>
        <v>0</v>
      </c>
      <c r="X15" s="12">
        <f>kWh!X15*('Elec Rates'!X15-'CS Rates'!X15)</f>
        <v>0</v>
      </c>
      <c r="Y15" s="12">
        <f>kWh!Y15*('Elec Rates'!Y15-'CS Rates'!Y15)</f>
        <v>0</v>
      </c>
      <c r="Z15" s="12">
        <f>kWh!Z15*('Elec Rates'!Z15-'CS Rates'!Z15)</f>
        <v>0</v>
      </c>
      <c r="AA15" s="12">
        <f>kWh!AA15*('Elec Rates'!AA15-'CS Rates'!AA15)</f>
        <v>0</v>
      </c>
      <c r="AB15" s="12">
        <f>kWh!AB15*('Elec Rates'!AB15-'CS Rates'!AB15)</f>
        <v>0</v>
      </c>
      <c r="AC15" s="12">
        <f>kWh!AC15*('Elec Rates'!AC15-'CS Rates'!AC15)</f>
        <v>0</v>
      </c>
      <c r="AD15" s="12">
        <f>kWh!AD15*('Elec Rates'!AD15-'CS Rates'!AD15)</f>
        <v>0</v>
      </c>
      <c r="AE15" s="12">
        <f>kWh!AE15*('Elec Rates'!AE15-'CS Rates'!AE15)</f>
        <v>0</v>
      </c>
      <c r="AF15" s="12">
        <f>kWh!AF15*('Elec Rates'!AF15-'CS Rates'!AF15)</f>
        <v>0</v>
      </c>
      <c r="AG15" s="12">
        <f>kWh!AG15*('Elec Rates'!AG15-'CS Rates'!AG15)</f>
        <v>0</v>
      </c>
      <c r="AH15" s="12">
        <f>kWh!AH15*('Elec Rates'!AH15-'CS Rates'!AH15)</f>
        <v>0</v>
      </c>
      <c r="AI15" s="12">
        <f>kWh!AI15*('Elec Rates'!AI15-'CS Rates'!AI15)</f>
        <v>0</v>
      </c>
      <c r="AJ15" s="12">
        <f>kWh!AJ15*('Elec Rates'!AJ15-'CS Rates'!AJ15)</f>
        <v>0</v>
      </c>
      <c r="AK15" s="12">
        <f>kWh!AK15*('Elec Rates'!AK15-'CS Rates'!AK15)</f>
        <v>0</v>
      </c>
      <c r="AL15" s="12">
        <f>kWh!AL15*('Elec Rates'!AL15-'CS Rates'!AL15)</f>
        <v>0</v>
      </c>
      <c r="AM15" s="12">
        <f>kWh!AM15*('Elec Rates'!AM15-'CS Rates'!AM15)</f>
        <v>0</v>
      </c>
      <c r="AN15" s="12">
        <f>kWh!AN15*('Elec Rates'!AN15-'CS Rates'!AN15)</f>
        <v>0</v>
      </c>
      <c r="AO15" s="12">
        <f>kWh!AO15*('Elec Rates'!AO15-'CS Rates'!AO15)</f>
        <v>0</v>
      </c>
      <c r="AP15" s="12">
        <f>kWh!AP15*('Elec Rates'!AP15-'CS Rates'!AP15)</f>
        <v>0</v>
      </c>
      <c r="AQ15" s="12">
        <f t="shared" si="0"/>
        <v>3276.7379999999994</v>
      </c>
    </row>
    <row r="16" spans="1:44" x14ac:dyDescent="0.3">
      <c r="A16" s="4">
        <v>44682</v>
      </c>
      <c r="B16" s="12">
        <f>kWh!B16*('Elec Rates'!B16-'CS Rates'!B16)</f>
        <v>277.17990000000009</v>
      </c>
      <c r="C16" s="12">
        <f>kWh!C16*('Elec Rates'!C16-'CS Rates'!C16)</f>
        <v>613.25990000000002</v>
      </c>
      <c r="D16" s="12">
        <f>kWh!D16*('Elec Rates'!D16-'CS Rates'!D16)</f>
        <v>274.23629999999997</v>
      </c>
      <c r="E16" s="12">
        <f>kWh!E16*('Elec Rates'!E16-'CS Rates'!E16)</f>
        <v>235.45799999999986</v>
      </c>
      <c r="F16" s="12">
        <f>kWh!F16*('Elec Rates'!F16-'CS Rates'!F16)</f>
        <v>589.14799999999991</v>
      </c>
      <c r="G16" s="12">
        <f>kWh!G16*('Elec Rates'!G16-'CS Rates'!G16)</f>
        <v>52.173999999999971</v>
      </c>
      <c r="H16" s="12">
        <f>kWh!H16*('Elec Rates'!H16-'CS Rates'!H16)</f>
        <v>1543.7319999999997</v>
      </c>
      <c r="I16" s="12">
        <f>kWh!I16*('Elec Rates'!I16-'CS Rates'!I16)</f>
        <v>0</v>
      </c>
      <c r="J16" s="12">
        <f>kWh!J16*('Elec Rates'!J16-'CS Rates'!J16)</f>
        <v>0</v>
      </c>
      <c r="K16" s="12">
        <f>kWh!K16*('Elec Rates'!K16-'CS Rates'!K16)</f>
        <v>0</v>
      </c>
      <c r="L16" s="12">
        <f>kWh!L16*('Elec Rates'!L16-'CS Rates'!L16)</f>
        <v>0</v>
      </c>
      <c r="M16" s="12">
        <f>kWh!M16*('Elec Rates'!M16-'CS Rates'!M16)</f>
        <v>0</v>
      </c>
      <c r="N16" s="12">
        <f>kWh!N16*('Elec Rates'!N16-'CS Rates'!N16)</f>
        <v>0</v>
      </c>
      <c r="O16" s="12">
        <f>kWh!O16*('Elec Rates'!O16-'CS Rates'!O16)</f>
        <v>0</v>
      </c>
      <c r="P16" s="12">
        <f>kWh!P16*('Elec Rates'!P16-'CS Rates'!P16)</f>
        <v>0</v>
      </c>
      <c r="Q16" s="12">
        <f>kWh!Q16*('Elec Rates'!Q16-'CS Rates'!Q16)</f>
        <v>0</v>
      </c>
      <c r="R16" s="12">
        <f>kWh!R16*('Elec Rates'!R16-'CS Rates'!R16)</f>
        <v>0</v>
      </c>
      <c r="S16" s="12">
        <f>kWh!S16*('Elec Rates'!S16-'CS Rates'!S16)</f>
        <v>0</v>
      </c>
      <c r="T16" s="12">
        <f>kWh!T16*('Elec Rates'!T16-'CS Rates'!T16)</f>
        <v>0</v>
      </c>
      <c r="U16" s="12">
        <f>kWh!U16*('Elec Rates'!U16-'CS Rates'!U16)</f>
        <v>0</v>
      </c>
      <c r="V16" s="12">
        <f>kWh!V16*('Elec Rates'!V16-'CS Rates'!V16)</f>
        <v>0</v>
      </c>
      <c r="W16" s="12">
        <f>kWh!W16*('Elec Rates'!W16-'CS Rates'!W16)</f>
        <v>0</v>
      </c>
      <c r="X16" s="12">
        <f>kWh!X16*('Elec Rates'!X16-'CS Rates'!X16)</f>
        <v>0</v>
      </c>
      <c r="Y16" s="12">
        <f>kWh!Y16*('Elec Rates'!Y16-'CS Rates'!Y16)</f>
        <v>0</v>
      </c>
      <c r="Z16" s="12">
        <f>kWh!Z16*('Elec Rates'!Z16-'CS Rates'!Z16)</f>
        <v>0</v>
      </c>
      <c r="AA16" s="12">
        <f>kWh!AA16*('Elec Rates'!AA16-'CS Rates'!AA16)</f>
        <v>0</v>
      </c>
      <c r="AB16" s="12">
        <f>kWh!AB16*('Elec Rates'!AB16-'CS Rates'!AB16)</f>
        <v>0</v>
      </c>
      <c r="AC16" s="12">
        <f>kWh!AC16*('Elec Rates'!AC16-'CS Rates'!AC16)</f>
        <v>0</v>
      </c>
      <c r="AD16" s="12">
        <f>kWh!AD16*('Elec Rates'!AD16-'CS Rates'!AD16)</f>
        <v>0</v>
      </c>
      <c r="AE16" s="12">
        <f>kWh!AE16*('Elec Rates'!AE16-'CS Rates'!AE16)</f>
        <v>0</v>
      </c>
      <c r="AF16" s="12">
        <f>kWh!AF16*('Elec Rates'!AF16-'CS Rates'!AF16)</f>
        <v>0</v>
      </c>
      <c r="AG16" s="12">
        <f>kWh!AG16*('Elec Rates'!AG16-'CS Rates'!AG16)</f>
        <v>0</v>
      </c>
      <c r="AH16" s="12">
        <f>kWh!AH16*('Elec Rates'!AH16-'CS Rates'!AH16)</f>
        <v>0</v>
      </c>
      <c r="AI16" s="12">
        <f>kWh!AI16*('Elec Rates'!AI16-'CS Rates'!AI16)</f>
        <v>0</v>
      </c>
      <c r="AJ16" s="12">
        <f>kWh!AJ16*('Elec Rates'!AJ16-'CS Rates'!AJ16)</f>
        <v>0</v>
      </c>
      <c r="AK16" s="12">
        <f>kWh!AK16*('Elec Rates'!AK16-'CS Rates'!AK16)</f>
        <v>0</v>
      </c>
      <c r="AL16" s="12">
        <f>kWh!AL16*('Elec Rates'!AL16-'CS Rates'!AL16)</f>
        <v>0</v>
      </c>
      <c r="AM16" s="12">
        <f>kWh!AM16*('Elec Rates'!AM16-'CS Rates'!AM16)</f>
        <v>0</v>
      </c>
      <c r="AN16" s="12">
        <f>kWh!AN16*('Elec Rates'!AN16-'CS Rates'!AN16)</f>
        <v>0</v>
      </c>
      <c r="AO16" s="12">
        <f>kWh!AO16*('Elec Rates'!AO16-'CS Rates'!AO16)</f>
        <v>0</v>
      </c>
      <c r="AP16" s="12">
        <f>kWh!AP16*('Elec Rates'!AP16-'CS Rates'!AP16)</f>
        <v>0</v>
      </c>
      <c r="AQ16" s="12">
        <f t="shared" si="0"/>
        <v>3585.1880999999994</v>
      </c>
    </row>
    <row r="17" spans="1:47" x14ac:dyDescent="0.3">
      <c r="A17" s="4">
        <v>44713</v>
      </c>
      <c r="B17" s="12">
        <f>kWh!B17*('Elec Rates'!B17-'CS Rates'!B17)</f>
        <v>1522.1560000000002</v>
      </c>
      <c r="C17" s="12">
        <f>kWh!C17*('Elec Rates'!C17-'CS Rates'!C17)</f>
        <v>542.48810000000003</v>
      </c>
      <c r="D17" s="12">
        <f>kWh!D17*('Elec Rates'!D17-'CS Rates'!D17)</f>
        <v>1077.7294000000002</v>
      </c>
      <c r="E17" s="12">
        <f>kWh!E17*('Elec Rates'!E17-'CS Rates'!E17)</f>
        <v>1274.3920000000001</v>
      </c>
      <c r="F17" s="12">
        <f>kWh!F17*('Elec Rates'!F17-'CS Rates'!F17)</f>
        <v>533.07399999999996</v>
      </c>
      <c r="G17" s="12">
        <f>kWh!G17*('Elec Rates'!G17-'CS Rates'!G17)</f>
        <v>257.14499999999998</v>
      </c>
      <c r="H17" s="12">
        <f>kWh!H17*('Elec Rates'!H17-'CS Rates'!H17)</f>
        <v>1433.0559999999998</v>
      </c>
      <c r="I17" s="12">
        <f>kWh!I17*('Elec Rates'!I17-'CS Rates'!I17)</f>
        <v>0</v>
      </c>
      <c r="J17" s="12">
        <f>kWh!J17*('Elec Rates'!J17-'CS Rates'!J17)</f>
        <v>0</v>
      </c>
      <c r="K17" s="12">
        <f>kWh!K17*('Elec Rates'!K17-'CS Rates'!K17)</f>
        <v>0</v>
      </c>
      <c r="L17" s="12">
        <f>kWh!L17*('Elec Rates'!L17-'CS Rates'!L17)</f>
        <v>0</v>
      </c>
      <c r="M17" s="12">
        <f>kWh!M17*('Elec Rates'!M17-'CS Rates'!M17)</f>
        <v>0</v>
      </c>
      <c r="N17" s="12">
        <f>kWh!N17*('Elec Rates'!N17-'CS Rates'!N17)</f>
        <v>0</v>
      </c>
      <c r="O17" s="12">
        <f>kWh!O17*('Elec Rates'!O17-'CS Rates'!O17)</f>
        <v>0</v>
      </c>
      <c r="P17" s="12">
        <f>kWh!P17*('Elec Rates'!P17-'CS Rates'!P17)</f>
        <v>0</v>
      </c>
      <c r="Q17" s="12">
        <f>kWh!Q17*('Elec Rates'!Q17-'CS Rates'!Q17)</f>
        <v>0</v>
      </c>
      <c r="R17" s="12">
        <f>kWh!R17*('Elec Rates'!R17-'CS Rates'!R17)</f>
        <v>0</v>
      </c>
      <c r="S17" s="12">
        <f>kWh!S17*('Elec Rates'!S17-'CS Rates'!S17)</f>
        <v>0</v>
      </c>
      <c r="T17" s="12">
        <f>kWh!T17*('Elec Rates'!T17-'CS Rates'!T17)</f>
        <v>0</v>
      </c>
      <c r="U17" s="12">
        <f>kWh!U17*('Elec Rates'!U17-'CS Rates'!U17)</f>
        <v>0</v>
      </c>
      <c r="V17" s="12">
        <f>kWh!V17*('Elec Rates'!V17-'CS Rates'!V17)</f>
        <v>0</v>
      </c>
      <c r="W17" s="12">
        <f>kWh!W17*('Elec Rates'!W17-'CS Rates'!W17)</f>
        <v>0</v>
      </c>
      <c r="X17" s="12">
        <f>kWh!X17*('Elec Rates'!X17-'CS Rates'!X17)</f>
        <v>0</v>
      </c>
      <c r="Y17" s="12">
        <f>kWh!Y17*('Elec Rates'!Y17-'CS Rates'!Y17)</f>
        <v>0</v>
      </c>
      <c r="Z17" s="12">
        <f>kWh!Z17*('Elec Rates'!Z17-'CS Rates'!Z17)</f>
        <v>0</v>
      </c>
      <c r="AA17" s="12">
        <f>kWh!AA17*('Elec Rates'!AA17-'CS Rates'!AA17)</f>
        <v>0</v>
      </c>
      <c r="AB17" s="12">
        <f>kWh!AB17*('Elec Rates'!AB17-'CS Rates'!AB17)</f>
        <v>0</v>
      </c>
      <c r="AC17" s="12">
        <f>kWh!AC17*('Elec Rates'!AC17-'CS Rates'!AC17)</f>
        <v>0</v>
      </c>
      <c r="AD17" s="12">
        <f>kWh!AD17*('Elec Rates'!AD17-'CS Rates'!AD17)</f>
        <v>0</v>
      </c>
      <c r="AE17" s="12">
        <f>kWh!AE17*('Elec Rates'!AE17-'CS Rates'!AE17)</f>
        <v>0</v>
      </c>
      <c r="AF17" s="12">
        <f>kWh!AF17*('Elec Rates'!AF17-'CS Rates'!AF17)</f>
        <v>0</v>
      </c>
      <c r="AG17" s="12">
        <f>kWh!AG17*('Elec Rates'!AG17-'CS Rates'!AG17)</f>
        <v>0</v>
      </c>
      <c r="AH17" s="12">
        <f>kWh!AH17*('Elec Rates'!AH17-'CS Rates'!AH17)</f>
        <v>0</v>
      </c>
      <c r="AI17" s="12">
        <f>kWh!AI17*('Elec Rates'!AI17-'CS Rates'!AI17)</f>
        <v>0</v>
      </c>
      <c r="AJ17" s="12">
        <f>kWh!AJ17*('Elec Rates'!AJ17-'CS Rates'!AJ17)</f>
        <v>0</v>
      </c>
      <c r="AK17" s="12">
        <f>kWh!AK17*('Elec Rates'!AK17-'CS Rates'!AK17)</f>
        <v>0</v>
      </c>
      <c r="AL17" s="12">
        <f>kWh!AL17*('Elec Rates'!AL17-'CS Rates'!AL17)</f>
        <v>0</v>
      </c>
      <c r="AM17" s="12">
        <f>kWh!AM17*('Elec Rates'!AM17-'CS Rates'!AM17)</f>
        <v>0</v>
      </c>
      <c r="AN17" s="12">
        <f>kWh!AN17*('Elec Rates'!AN17-'CS Rates'!AN17)</f>
        <v>0</v>
      </c>
      <c r="AO17" s="12">
        <f>kWh!AO17*('Elec Rates'!AO17-'CS Rates'!AO17)</f>
        <v>0</v>
      </c>
      <c r="AP17" s="12">
        <f>kWh!AP17*('Elec Rates'!AP17-'CS Rates'!AP17)</f>
        <v>0</v>
      </c>
      <c r="AQ17" s="12">
        <f t="shared" si="0"/>
        <v>6640.0405000000001</v>
      </c>
    </row>
    <row r="18" spans="1:47" x14ac:dyDescent="0.3">
      <c r="A18" s="4">
        <v>44743</v>
      </c>
      <c r="B18" s="12">
        <f>kWh!B18*('Elec Rates'!B18-'CS Rates'!B18)</f>
        <v>1041.2965800000002</v>
      </c>
      <c r="C18" s="12">
        <f>kWh!C18*('Elec Rates'!C18-'CS Rates'!C18)</f>
        <v>318.63976000000002</v>
      </c>
      <c r="D18" s="12">
        <f>kWh!D18*('Elec Rates'!D18-'CS Rates'!D18)</f>
        <v>838.76769000000013</v>
      </c>
      <c r="E18" s="12">
        <f>kWh!E18*('Elec Rates'!E18-'CS Rates'!E18)</f>
        <v>991.88549999999987</v>
      </c>
      <c r="F18" s="12">
        <f>kWh!F18*('Elec Rates'!F18-'CS Rates'!F18)</f>
        <v>470.23339999999996</v>
      </c>
      <c r="G18" s="12">
        <f>kWh!G18*('Elec Rates'!G18-'CS Rates'!G18)</f>
        <v>229.84719999999999</v>
      </c>
      <c r="H18" s="12">
        <f>kWh!H18*('Elec Rates'!H18-'CS Rates'!H18)</f>
        <v>1285.3649999999998</v>
      </c>
      <c r="I18" s="12">
        <f>kWh!I18*('Elec Rates'!I18-'CS Rates'!I18)</f>
        <v>0</v>
      </c>
      <c r="J18" s="12">
        <f>kWh!J18*('Elec Rates'!J18-'CS Rates'!J18)</f>
        <v>0</v>
      </c>
      <c r="K18" s="12">
        <f>kWh!K18*('Elec Rates'!K18-'CS Rates'!K18)</f>
        <v>0</v>
      </c>
      <c r="L18" s="12">
        <f>kWh!L18*('Elec Rates'!L18-'CS Rates'!L18)</f>
        <v>0</v>
      </c>
      <c r="M18" s="12">
        <f>kWh!M18*('Elec Rates'!M18-'CS Rates'!M18)</f>
        <v>0</v>
      </c>
      <c r="N18" s="12">
        <f>kWh!N18*('Elec Rates'!N18-'CS Rates'!N18)</f>
        <v>0</v>
      </c>
      <c r="O18" s="12">
        <f>kWh!O18*('Elec Rates'!O18-'CS Rates'!O18)</f>
        <v>0</v>
      </c>
      <c r="P18" s="12">
        <f>kWh!P18*('Elec Rates'!P18-'CS Rates'!P18)</f>
        <v>0</v>
      </c>
      <c r="Q18" s="12">
        <f>kWh!Q18*('Elec Rates'!Q18-'CS Rates'!Q18)</f>
        <v>0</v>
      </c>
      <c r="R18" s="12">
        <f>kWh!R18*('Elec Rates'!R18-'CS Rates'!R18)</f>
        <v>0</v>
      </c>
      <c r="S18" s="12">
        <f>kWh!S18*('Elec Rates'!S18-'CS Rates'!S18)</f>
        <v>0</v>
      </c>
      <c r="T18" s="12">
        <f>kWh!T18*('Elec Rates'!T18-'CS Rates'!T18)</f>
        <v>0</v>
      </c>
      <c r="U18" s="12">
        <f>kWh!U18*('Elec Rates'!U18-'CS Rates'!U18)</f>
        <v>0</v>
      </c>
      <c r="V18" s="12">
        <f>kWh!V18*('Elec Rates'!V18-'CS Rates'!V18)</f>
        <v>0</v>
      </c>
      <c r="W18" s="12">
        <f>kWh!W18*('Elec Rates'!W18-'CS Rates'!W18)</f>
        <v>0</v>
      </c>
      <c r="X18" s="12">
        <f>kWh!X18*('Elec Rates'!X18-'CS Rates'!X18)</f>
        <v>0</v>
      </c>
      <c r="Y18" s="12">
        <f>kWh!Y18*('Elec Rates'!Y18-'CS Rates'!Y18)</f>
        <v>0</v>
      </c>
      <c r="Z18" s="12">
        <f>kWh!Z18*('Elec Rates'!Z18-'CS Rates'!Z18)</f>
        <v>0</v>
      </c>
      <c r="AA18" s="12">
        <f>kWh!AA18*('Elec Rates'!AA18-'CS Rates'!AA18)</f>
        <v>0</v>
      </c>
      <c r="AB18" s="12">
        <f>kWh!AB18*('Elec Rates'!AB18-'CS Rates'!AB18)</f>
        <v>0</v>
      </c>
      <c r="AC18" s="12">
        <f>kWh!AC18*('Elec Rates'!AC18-'CS Rates'!AC18)</f>
        <v>0</v>
      </c>
      <c r="AD18" s="12">
        <f>kWh!AD18*('Elec Rates'!AD18-'CS Rates'!AD18)</f>
        <v>0</v>
      </c>
      <c r="AE18" s="12">
        <f>kWh!AE18*('Elec Rates'!AE18-'CS Rates'!AE18)</f>
        <v>0</v>
      </c>
      <c r="AF18" s="12">
        <f>kWh!AF18*('Elec Rates'!AF18-'CS Rates'!AF18)</f>
        <v>0</v>
      </c>
      <c r="AG18" s="12">
        <f>kWh!AG18*('Elec Rates'!AG18-'CS Rates'!AG18)</f>
        <v>0</v>
      </c>
      <c r="AH18" s="12">
        <f>kWh!AH18*('Elec Rates'!AH18-'CS Rates'!AH18)</f>
        <v>0</v>
      </c>
      <c r="AI18" s="12">
        <f>kWh!AI18*('Elec Rates'!AI18-'CS Rates'!AI18)</f>
        <v>0</v>
      </c>
      <c r="AJ18" s="12">
        <f>kWh!AJ18*('Elec Rates'!AJ18-'CS Rates'!AJ18)</f>
        <v>0</v>
      </c>
      <c r="AK18" s="12">
        <f>kWh!AK18*('Elec Rates'!AK18-'CS Rates'!AK18)</f>
        <v>0</v>
      </c>
      <c r="AL18" s="12">
        <f>kWh!AL18*('Elec Rates'!AL18-'CS Rates'!AL18)</f>
        <v>0</v>
      </c>
      <c r="AM18" s="12">
        <f>kWh!AM18*('Elec Rates'!AM18-'CS Rates'!AM18)</f>
        <v>0</v>
      </c>
      <c r="AN18" s="12">
        <f>kWh!AN18*('Elec Rates'!AN18-'CS Rates'!AN18)</f>
        <v>0</v>
      </c>
      <c r="AO18" s="12">
        <f>kWh!AO18*('Elec Rates'!AO18-'CS Rates'!AO18)</f>
        <v>0</v>
      </c>
      <c r="AP18" s="12">
        <f>kWh!AP18*('Elec Rates'!AP18-'CS Rates'!AP18)</f>
        <v>0</v>
      </c>
      <c r="AQ18" s="12">
        <f t="shared" si="0"/>
        <v>5176.0351300000002</v>
      </c>
    </row>
    <row r="19" spans="1:47" x14ac:dyDescent="0.3">
      <c r="A19" s="4">
        <v>44774</v>
      </c>
      <c r="B19" s="12">
        <f>kWh!B19*('Elec Rates'!B19-'CS Rates'!B19)</f>
        <v>760.50618000000009</v>
      </c>
      <c r="C19" s="12">
        <f>kWh!C19*('Elec Rates'!C19-'CS Rates'!C19)</f>
        <v>385.03618999999998</v>
      </c>
      <c r="D19" s="12">
        <f>kWh!D19*('Elec Rates'!D19-'CS Rates'!D19)</f>
        <v>884.73386000000016</v>
      </c>
      <c r="E19" s="12">
        <f>kWh!E19*('Elec Rates'!E19-'CS Rates'!E19)</f>
        <v>834.64499999999987</v>
      </c>
      <c r="F19" s="12">
        <f>kWh!F19*('Elec Rates'!F19-'CS Rates'!F19)</f>
        <v>425.1902</v>
      </c>
      <c r="G19" s="12">
        <f>kWh!G19*('Elec Rates'!G19-'CS Rates'!G19)</f>
        <v>205.97880000000001</v>
      </c>
      <c r="H19" s="12">
        <f>kWh!H19*('Elec Rates'!H19-'CS Rates'!H19)</f>
        <v>1094.0217999999998</v>
      </c>
      <c r="I19" s="12">
        <f>kWh!I19*('Elec Rates'!I19-'CS Rates'!I19)</f>
        <v>0</v>
      </c>
      <c r="J19" s="12">
        <f>kWh!J19*('Elec Rates'!J19-'CS Rates'!J19)</f>
        <v>0</v>
      </c>
      <c r="K19" s="12">
        <f>kWh!K19*('Elec Rates'!K19-'CS Rates'!K19)</f>
        <v>0</v>
      </c>
      <c r="L19" s="12">
        <f>kWh!L19*('Elec Rates'!L19-'CS Rates'!L19)</f>
        <v>0</v>
      </c>
      <c r="M19" s="12">
        <f>kWh!M19*('Elec Rates'!M19-'CS Rates'!M19)</f>
        <v>0</v>
      </c>
      <c r="N19" s="12">
        <f>kWh!N19*('Elec Rates'!N19-'CS Rates'!N19)</f>
        <v>0</v>
      </c>
      <c r="O19" s="12">
        <f>kWh!O19*('Elec Rates'!O19-'CS Rates'!O19)</f>
        <v>0</v>
      </c>
      <c r="P19" s="12">
        <f>kWh!P19*('Elec Rates'!P19-'CS Rates'!P19)</f>
        <v>0</v>
      </c>
      <c r="Q19" s="12">
        <f>kWh!Q19*('Elec Rates'!Q19-'CS Rates'!Q19)</f>
        <v>0</v>
      </c>
      <c r="R19" s="12">
        <f>kWh!R19*('Elec Rates'!R19-'CS Rates'!R19)</f>
        <v>0</v>
      </c>
      <c r="S19" s="12">
        <f>kWh!S19*('Elec Rates'!S19-'CS Rates'!S19)</f>
        <v>0</v>
      </c>
      <c r="T19" s="12">
        <f>kWh!T19*('Elec Rates'!T19-'CS Rates'!T19)</f>
        <v>0</v>
      </c>
      <c r="U19" s="12">
        <f>kWh!U19*('Elec Rates'!U19-'CS Rates'!U19)</f>
        <v>0</v>
      </c>
      <c r="V19" s="12">
        <f>kWh!V19*('Elec Rates'!V19-'CS Rates'!V19)</f>
        <v>0</v>
      </c>
      <c r="W19" s="12">
        <f>kWh!W19*('Elec Rates'!W19-'CS Rates'!W19)</f>
        <v>0</v>
      </c>
      <c r="X19" s="12">
        <f>kWh!X19*('Elec Rates'!X19-'CS Rates'!X19)</f>
        <v>0</v>
      </c>
      <c r="Y19" s="12">
        <f>kWh!Y19*('Elec Rates'!Y19-'CS Rates'!Y19)</f>
        <v>0</v>
      </c>
      <c r="Z19" s="12">
        <f>kWh!Z19*('Elec Rates'!Z19-'CS Rates'!Z19)</f>
        <v>0</v>
      </c>
      <c r="AA19" s="12">
        <f>kWh!AA19*('Elec Rates'!AA19-'CS Rates'!AA19)</f>
        <v>0</v>
      </c>
      <c r="AB19" s="12">
        <f>kWh!AB19*('Elec Rates'!AB19-'CS Rates'!AB19)</f>
        <v>0</v>
      </c>
      <c r="AC19" s="12">
        <f>kWh!AC19*('Elec Rates'!AC19-'CS Rates'!AC19)</f>
        <v>0</v>
      </c>
      <c r="AD19" s="12">
        <f>kWh!AD19*('Elec Rates'!AD19-'CS Rates'!AD19)</f>
        <v>0</v>
      </c>
      <c r="AE19" s="12">
        <f>kWh!AE19*('Elec Rates'!AE19-'CS Rates'!AE19)</f>
        <v>0</v>
      </c>
      <c r="AF19" s="12">
        <f>kWh!AF19*('Elec Rates'!AF19-'CS Rates'!AF19)</f>
        <v>0</v>
      </c>
      <c r="AG19" s="12">
        <f>kWh!AG19*('Elec Rates'!AG19-'CS Rates'!AG19)</f>
        <v>0</v>
      </c>
      <c r="AH19" s="12">
        <f>kWh!AH19*('Elec Rates'!AH19-'CS Rates'!AH19)</f>
        <v>0</v>
      </c>
      <c r="AI19" s="12">
        <f>kWh!AI19*('Elec Rates'!AI19-'CS Rates'!AI19)</f>
        <v>0</v>
      </c>
      <c r="AJ19" s="12">
        <f>kWh!AJ19*('Elec Rates'!AJ19-'CS Rates'!AJ19)</f>
        <v>0</v>
      </c>
      <c r="AK19" s="12">
        <f>kWh!AK19*('Elec Rates'!AK19-'CS Rates'!AK19)</f>
        <v>0</v>
      </c>
      <c r="AL19" s="12">
        <f>kWh!AL19*('Elec Rates'!AL19-'CS Rates'!AL19)</f>
        <v>0</v>
      </c>
      <c r="AM19" s="12">
        <f>kWh!AM19*('Elec Rates'!AM19-'CS Rates'!AM19)</f>
        <v>0</v>
      </c>
      <c r="AN19" s="12">
        <f>kWh!AN19*('Elec Rates'!AN19-'CS Rates'!AN19)</f>
        <v>0</v>
      </c>
      <c r="AO19" s="12">
        <f>kWh!AO19*('Elec Rates'!AO19-'CS Rates'!AO19)</f>
        <v>0</v>
      </c>
      <c r="AP19" s="12">
        <f>kWh!AP19*('Elec Rates'!AP19-'CS Rates'!AP19)</f>
        <v>0</v>
      </c>
      <c r="AQ19" s="12">
        <f t="shared" si="0"/>
        <v>4590.1120300000002</v>
      </c>
    </row>
    <row r="20" spans="1:47" x14ac:dyDescent="0.3">
      <c r="A20" s="4">
        <v>44805</v>
      </c>
      <c r="B20" s="12">
        <f>kWh!B20*('Elec Rates'!B20-'CS Rates'!B20)</f>
        <v>863.64509999999996</v>
      </c>
      <c r="C20" s="12">
        <f>kWh!C20*('Elec Rates'!C20-'CS Rates'!C20)</f>
        <v>487.65888000000012</v>
      </c>
      <c r="D20" s="12">
        <f>kWh!D20*('Elec Rates'!D20-'CS Rates'!D20)</f>
        <v>908.0203200000002</v>
      </c>
      <c r="E20" s="12">
        <f>kWh!E20*('Elec Rates'!E20-'CS Rates'!E20)</f>
        <v>807.66469999999981</v>
      </c>
      <c r="F20" s="12">
        <f>kWh!F20*('Elec Rates'!F20-'CS Rates'!F20)</f>
        <v>425.89450000000005</v>
      </c>
      <c r="G20" s="12">
        <f>kWh!G20*('Elec Rates'!G20-'CS Rates'!G20)</f>
        <v>217.01810000000003</v>
      </c>
      <c r="H20" s="12">
        <f>kWh!H20*('Elec Rates'!H20-'CS Rates'!H20)</f>
        <v>1170.3691999999996</v>
      </c>
      <c r="I20" s="12">
        <f>kWh!I20*('Elec Rates'!I20-'CS Rates'!I20)</f>
        <v>0</v>
      </c>
      <c r="J20" s="12">
        <f>kWh!J20*('Elec Rates'!J20-'CS Rates'!J20)</f>
        <v>0</v>
      </c>
      <c r="K20" s="12">
        <f>kWh!K20*('Elec Rates'!K20-'CS Rates'!K20)</f>
        <v>0</v>
      </c>
      <c r="L20" s="12">
        <f>kWh!L20*('Elec Rates'!L20-'CS Rates'!L20)</f>
        <v>0</v>
      </c>
      <c r="M20" s="12">
        <f>kWh!M20*('Elec Rates'!M20-'CS Rates'!M20)</f>
        <v>0</v>
      </c>
      <c r="N20" s="12">
        <f>kWh!N20*('Elec Rates'!N20-'CS Rates'!N20)</f>
        <v>0</v>
      </c>
      <c r="O20" s="12">
        <f>kWh!O20*('Elec Rates'!O20-'CS Rates'!O20)</f>
        <v>0</v>
      </c>
      <c r="P20" s="12">
        <f>kWh!P20*('Elec Rates'!P20-'CS Rates'!P20)</f>
        <v>0</v>
      </c>
      <c r="Q20" s="12">
        <f>kWh!Q20*('Elec Rates'!Q20-'CS Rates'!Q20)</f>
        <v>0</v>
      </c>
      <c r="R20" s="12">
        <f>kWh!R20*('Elec Rates'!R20-'CS Rates'!R20)</f>
        <v>0</v>
      </c>
      <c r="S20" s="12">
        <f>kWh!S20*('Elec Rates'!S20-'CS Rates'!S20)</f>
        <v>0</v>
      </c>
      <c r="T20" s="12">
        <f>kWh!T20*('Elec Rates'!T20-'CS Rates'!T20)</f>
        <v>0</v>
      </c>
      <c r="U20" s="12">
        <f>kWh!U20*('Elec Rates'!U20-'CS Rates'!U20)</f>
        <v>0</v>
      </c>
      <c r="V20" s="12">
        <f>kWh!V20*('Elec Rates'!V20-'CS Rates'!V20)</f>
        <v>0</v>
      </c>
      <c r="W20" s="12">
        <f>kWh!W20*('Elec Rates'!W20-'CS Rates'!W20)</f>
        <v>0</v>
      </c>
      <c r="X20" s="12">
        <f>kWh!X20*('Elec Rates'!X20-'CS Rates'!X20)</f>
        <v>0</v>
      </c>
      <c r="Y20" s="12">
        <f>kWh!Y20*('Elec Rates'!Y20-'CS Rates'!Y20)</f>
        <v>0</v>
      </c>
      <c r="Z20" s="12">
        <f>kWh!Z20*('Elec Rates'!Z20-'CS Rates'!Z20)</f>
        <v>0</v>
      </c>
      <c r="AA20" s="12">
        <f>kWh!AA20*('Elec Rates'!AA20-'CS Rates'!AA20)</f>
        <v>0</v>
      </c>
      <c r="AB20" s="12">
        <f>kWh!AB20*('Elec Rates'!AB20-'CS Rates'!AB20)</f>
        <v>0</v>
      </c>
      <c r="AC20" s="12">
        <f>kWh!AC20*('Elec Rates'!AC20-'CS Rates'!AC20)</f>
        <v>0</v>
      </c>
      <c r="AD20" s="12">
        <f>kWh!AD20*('Elec Rates'!AD20-'CS Rates'!AD20)</f>
        <v>0</v>
      </c>
      <c r="AE20" s="12">
        <f>kWh!AE20*('Elec Rates'!AE20-'CS Rates'!AE20)</f>
        <v>0</v>
      </c>
      <c r="AF20" s="12">
        <f>kWh!AF20*('Elec Rates'!AF20-'CS Rates'!AF20)</f>
        <v>0</v>
      </c>
      <c r="AG20" s="12">
        <f>kWh!AG20*('Elec Rates'!AG20-'CS Rates'!AG20)</f>
        <v>0</v>
      </c>
      <c r="AH20" s="12">
        <f>kWh!AH20*('Elec Rates'!AH20-'CS Rates'!AH20)</f>
        <v>0</v>
      </c>
      <c r="AI20" s="12">
        <f>kWh!AI20*('Elec Rates'!AI20-'CS Rates'!AI20)</f>
        <v>0</v>
      </c>
      <c r="AJ20" s="12">
        <f>kWh!AJ20*('Elec Rates'!AJ20-'CS Rates'!AJ20)</f>
        <v>0</v>
      </c>
      <c r="AK20" s="12">
        <f>kWh!AK20*('Elec Rates'!AK20-'CS Rates'!AK20)</f>
        <v>0</v>
      </c>
      <c r="AL20" s="12">
        <f>kWh!AL20*('Elec Rates'!AL20-'CS Rates'!AL20)</f>
        <v>0</v>
      </c>
      <c r="AM20" s="12">
        <f>kWh!AM20*('Elec Rates'!AM20-'CS Rates'!AM20)</f>
        <v>0</v>
      </c>
      <c r="AN20" s="12">
        <f>kWh!AN20*('Elec Rates'!AN20-'CS Rates'!AN20)</f>
        <v>0</v>
      </c>
      <c r="AO20" s="12">
        <f>kWh!AO20*('Elec Rates'!AO20-'CS Rates'!AO20)</f>
        <v>0</v>
      </c>
      <c r="AP20" s="12">
        <f>kWh!AP20*('Elec Rates'!AP20-'CS Rates'!AP20)</f>
        <v>0</v>
      </c>
      <c r="AQ20" s="12">
        <f t="shared" si="0"/>
        <v>4880.2708000000002</v>
      </c>
    </row>
    <row r="21" spans="1:47" x14ac:dyDescent="0.3">
      <c r="A21" s="4">
        <v>44835</v>
      </c>
      <c r="B21" s="12">
        <f>kWh!B21*('Elec Rates'!B21-'CS Rates'!B21)</f>
        <v>270.13751999999999</v>
      </c>
      <c r="C21" s="12">
        <f>kWh!C21*('Elec Rates'!C21-'CS Rates'!C21)</f>
        <v>522.65070000000014</v>
      </c>
      <c r="D21" s="12">
        <f>kWh!D21*('Elec Rates'!D21-'CS Rates'!D21)</f>
        <v>213.06168</v>
      </c>
      <c r="E21" s="12">
        <f>kWh!E21*('Elec Rates'!E21-'CS Rates'!E21)</f>
        <v>182.93799999999999</v>
      </c>
      <c r="F21" s="12">
        <f>kWh!F21*('Elec Rates'!F21-'CS Rates'!F21)</f>
        <v>405.14760000000001</v>
      </c>
      <c r="G21" s="12">
        <f>kWh!G21*('Elec Rates'!G21-'CS Rates'!G21)</f>
        <v>60.363499999999995</v>
      </c>
      <c r="H21" s="12">
        <f>kWh!H21*('Elec Rates'!H21-'CS Rates'!H21)</f>
        <v>1235.5021999999999</v>
      </c>
      <c r="I21" s="12">
        <f>kWh!I21*('Elec Rates'!I21-'CS Rates'!I21)</f>
        <v>0</v>
      </c>
      <c r="J21" s="12">
        <f>kWh!J21*('Elec Rates'!J21-'CS Rates'!J21)</f>
        <v>0</v>
      </c>
      <c r="K21" s="12">
        <f>kWh!K21*('Elec Rates'!K21-'CS Rates'!K21)</f>
        <v>0</v>
      </c>
      <c r="L21" s="12">
        <f>kWh!L21*('Elec Rates'!L21-'CS Rates'!L21)</f>
        <v>0</v>
      </c>
      <c r="M21" s="12">
        <f>kWh!M21*('Elec Rates'!M21-'CS Rates'!M21)</f>
        <v>0</v>
      </c>
      <c r="N21" s="12">
        <f>kWh!N21*('Elec Rates'!N21-'CS Rates'!N21)</f>
        <v>0</v>
      </c>
      <c r="O21" s="12">
        <f>kWh!O21*('Elec Rates'!O21-'CS Rates'!O21)</f>
        <v>0</v>
      </c>
      <c r="P21" s="12">
        <f>kWh!P21*('Elec Rates'!P21-'CS Rates'!P21)</f>
        <v>0</v>
      </c>
      <c r="Q21" s="12">
        <f>kWh!Q21*('Elec Rates'!Q21-'CS Rates'!Q21)</f>
        <v>0</v>
      </c>
      <c r="R21" s="12">
        <f>kWh!R21*('Elec Rates'!R21-'CS Rates'!R21)</f>
        <v>0</v>
      </c>
      <c r="S21" s="12">
        <f>kWh!S21*('Elec Rates'!S21-'CS Rates'!S21)</f>
        <v>0</v>
      </c>
      <c r="T21" s="12">
        <f>kWh!T21*('Elec Rates'!T21-'CS Rates'!T21)</f>
        <v>0</v>
      </c>
      <c r="U21" s="12">
        <f>kWh!U21*('Elec Rates'!U21-'CS Rates'!U21)</f>
        <v>0</v>
      </c>
      <c r="V21" s="12">
        <f>kWh!V21*('Elec Rates'!V21-'CS Rates'!V21)</f>
        <v>0</v>
      </c>
      <c r="W21" s="12">
        <f>kWh!W21*('Elec Rates'!W21-'CS Rates'!W21)</f>
        <v>0</v>
      </c>
      <c r="X21" s="12">
        <f>kWh!X21*('Elec Rates'!X21-'CS Rates'!X21)</f>
        <v>0</v>
      </c>
      <c r="Y21" s="12">
        <f>kWh!Y21*('Elec Rates'!Y21-'CS Rates'!Y21)</f>
        <v>0</v>
      </c>
      <c r="Z21" s="12">
        <f>kWh!Z21*('Elec Rates'!Z21-'CS Rates'!Z21)</f>
        <v>0</v>
      </c>
      <c r="AA21" s="12">
        <f>kWh!AA21*('Elec Rates'!AA21-'CS Rates'!AA21)</f>
        <v>0</v>
      </c>
      <c r="AB21" s="12">
        <f>kWh!AB21*('Elec Rates'!AB21-'CS Rates'!AB21)</f>
        <v>0</v>
      </c>
      <c r="AC21" s="12">
        <f>kWh!AC21*('Elec Rates'!AC21-'CS Rates'!AC21)</f>
        <v>0</v>
      </c>
      <c r="AD21" s="12">
        <f>kWh!AD21*('Elec Rates'!AD21-'CS Rates'!AD21)</f>
        <v>0</v>
      </c>
      <c r="AE21" s="12">
        <f>kWh!AE21*('Elec Rates'!AE21-'CS Rates'!AE21)</f>
        <v>0</v>
      </c>
      <c r="AF21" s="12">
        <f>kWh!AF21*('Elec Rates'!AF21-'CS Rates'!AF21)</f>
        <v>0</v>
      </c>
      <c r="AG21" s="12">
        <f>kWh!AG21*('Elec Rates'!AG21-'CS Rates'!AG21)</f>
        <v>0</v>
      </c>
      <c r="AH21" s="12">
        <f>kWh!AH21*('Elec Rates'!AH21-'CS Rates'!AH21)</f>
        <v>0</v>
      </c>
      <c r="AI21" s="12">
        <f>kWh!AI21*('Elec Rates'!AI21-'CS Rates'!AI21)</f>
        <v>0</v>
      </c>
      <c r="AJ21" s="12">
        <f>kWh!AJ21*('Elec Rates'!AJ21-'CS Rates'!AJ21)</f>
        <v>0</v>
      </c>
      <c r="AK21" s="12">
        <f>kWh!AK21*('Elec Rates'!AK21-'CS Rates'!AK21)</f>
        <v>0</v>
      </c>
      <c r="AL21" s="12">
        <f>kWh!AL21*('Elec Rates'!AL21-'CS Rates'!AL21)</f>
        <v>0</v>
      </c>
      <c r="AM21" s="12">
        <f>kWh!AM21*('Elec Rates'!AM21-'CS Rates'!AM21)</f>
        <v>0</v>
      </c>
      <c r="AN21" s="12">
        <f>kWh!AN21*('Elec Rates'!AN21-'CS Rates'!AN21)</f>
        <v>0</v>
      </c>
      <c r="AO21" s="12">
        <f>kWh!AO21*('Elec Rates'!AO21-'CS Rates'!AO21)</f>
        <v>0</v>
      </c>
      <c r="AP21" s="12">
        <f>kWh!AP21*('Elec Rates'!AP21-'CS Rates'!AP21)</f>
        <v>0</v>
      </c>
      <c r="AQ21" s="12">
        <f t="shared" si="0"/>
        <v>2889.8011999999999</v>
      </c>
    </row>
    <row r="22" spans="1:47" x14ac:dyDescent="0.3">
      <c r="A22" s="4">
        <v>44866</v>
      </c>
      <c r="B22" s="12">
        <f>kWh!B22*('Elec Rates'!B22-'CS Rates'!B22)</f>
        <v>151.80572000000001</v>
      </c>
      <c r="C22" s="12">
        <f>kWh!C22*('Elec Rates'!C22-'CS Rates'!C22)</f>
        <v>378.66590999999994</v>
      </c>
      <c r="D22" s="12">
        <f>kWh!D22*('Elec Rates'!D22-'CS Rates'!D22)</f>
        <v>132.49469999999997</v>
      </c>
      <c r="E22" s="12">
        <f>kWh!E22*('Elec Rates'!E22-'CS Rates'!E22)</f>
        <v>127.15353</v>
      </c>
      <c r="F22" s="12">
        <f>kWh!F22*('Elec Rates'!F22-'CS Rates'!F22)</f>
        <v>260.64</v>
      </c>
      <c r="G22" s="12">
        <f>kWh!G22*('Elec Rates'!G22-'CS Rates'!G22)</f>
        <v>38.59109999999999</v>
      </c>
      <c r="H22" s="12">
        <f>kWh!H22*('Elec Rates'!H22-'CS Rates'!H22)</f>
        <v>634.06599999999992</v>
      </c>
      <c r="I22" s="12">
        <f>kWh!I22*('Elec Rates'!I22-'CS Rates'!I22)</f>
        <v>0</v>
      </c>
      <c r="J22" s="12">
        <f>kWh!J22*('Elec Rates'!J22-'CS Rates'!J22)</f>
        <v>0</v>
      </c>
      <c r="K22" s="12">
        <f>kWh!K22*('Elec Rates'!K22-'CS Rates'!K22)</f>
        <v>0</v>
      </c>
      <c r="L22" s="12">
        <f>kWh!L22*('Elec Rates'!L22-'CS Rates'!L22)</f>
        <v>0</v>
      </c>
      <c r="M22" s="12">
        <f>kWh!M22*('Elec Rates'!M22-'CS Rates'!M22)</f>
        <v>0</v>
      </c>
      <c r="N22" s="12">
        <f>kWh!N22*('Elec Rates'!N22-'CS Rates'!N22)</f>
        <v>0</v>
      </c>
      <c r="O22" s="12">
        <f>kWh!O22*('Elec Rates'!O22-'CS Rates'!O22)</f>
        <v>0</v>
      </c>
      <c r="P22" s="12">
        <f>kWh!P22*('Elec Rates'!P22-'CS Rates'!P22)</f>
        <v>0</v>
      </c>
      <c r="Q22" s="12">
        <f>kWh!Q22*('Elec Rates'!Q22-'CS Rates'!Q22)</f>
        <v>0</v>
      </c>
      <c r="R22" s="12">
        <f>kWh!R22*('Elec Rates'!R22-'CS Rates'!R22)</f>
        <v>0</v>
      </c>
      <c r="S22" s="12">
        <f>kWh!S22*('Elec Rates'!S22-'CS Rates'!S22)</f>
        <v>0</v>
      </c>
      <c r="T22" s="12">
        <f>kWh!T22*('Elec Rates'!T22-'CS Rates'!T22)</f>
        <v>0</v>
      </c>
      <c r="U22" s="12">
        <f>kWh!U22*('Elec Rates'!U22-'CS Rates'!U22)</f>
        <v>0</v>
      </c>
      <c r="V22" s="12">
        <f>kWh!V22*('Elec Rates'!V22-'CS Rates'!V22)</f>
        <v>0</v>
      </c>
      <c r="W22" s="12">
        <f>kWh!W22*('Elec Rates'!W22-'CS Rates'!W22)</f>
        <v>0</v>
      </c>
      <c r="X22" s="12">
        <f>kWh!X22*('Elec Rates'!X22-'CS Rates'!X22)</f>
        <v>0</v>
      </c>
      <c r="Y22" s="12">
        <f>kWh!Y22*('Elec Rates'!Y22-'CS Rates'!Y22)</f>
        <v>0</v>
      </c>
      <c r="Z22" s="12">
        <f>kWh!Z22*('Elec Rates'!Z22-'CS Rates'!Z22)</f>
        <v>0</v>
      </c>
      <c r="AA22" s="12">
        <f>kWh!AA22*('Elec Rates'!AA22-'CS Rates'!AA22)</f>
        <v>0</v>
      </c>
      <c r="AB22" s="12">
        <f>kWh!AB22*('Elec Rates'!AB22-'CS Rates'!AB22)</f>
        <v>0</v>
      </c>
      <c r="AC22" s="12">
        <f>kWh!AC22*('Elec Rates'!AC22-'CS Rates'!AC22)</f>
        <v>0</v>
      </c>
      <c r="AD22" s="12">
        <f>kWh!AD22*('Elec Rates'!AD22-'CS Rates'!AD22)</f>
        <v>0</v>
      </c>
      <c r="AE22" s="12">
        <f>kWh!AE22*('Elec Rates'!AE22-'CS Rates'!AE22)</f>
        <v>0</v>
      </c>
      <c r="AF22" s="12">
        <f>kWh!AF22*('Elec Rates'!AF22-'CS Rates'!AF22)</f>
        <v>0</v>
      </c>
      <c r="AG22" s="12">
        <f>kWh!AG22*('Elec Rates'!AG22-'CS Rates'!AG22)</f>
        <v>0</v>
      </c>
      <c r="AH22" s="12">
        <f>kWh!AH22*('Elec Rates'!AH22-'CS Rates'!AH22)</f>
        <v>0</v>
      </c>
      <c r="AI22" s="12">
        <f>kWh!AI22*('Elec Rates'!AI22-'CS Rates'!AI22)</f>
        <v>0</v>
      </c>
      <c r="AJ22" s="12">
        <f>kWh!AJ22*('Elec Rates'!AJ22-'CS Rates'!AJ22)</f>
        <v>0</v>
      </c>
      <c r="AK22" s="12">
        <f>kWh!AK22*('Elec Rates'!AK22-'CS Rates'!AK22)</f>
        <v>0</v>
      </c>
      <c r="AL22" s="12">
        <f>kWh!AL22*('Elec Rates'!AL22-'CS Rates'!AL22)</f>
        <v>0</v>
      </c>
      <c r="AM22" s="12">
        <f>kWh!AM22*('Elec Rates'!AM22-'CS Rates'!AM22)</f>
        <v>0</v>
      </c>
      <c r="AN22" s="12">
        <f>kWh!AN22*('Elec Rates'!AN22-'CS Rates'!AN22)</f>
        <v>0</v>
      </c>
      <c r="AO22" s="12">
        <f>kWh!AO22*('Elec Rates'!AO22-'CS Rates'!AO22)</f>
        <v>0</v>
      </c>
      <c r="AP22" s="12">
        <f>kWh!AP22*('Elec Rates'!AP22-'CS Rates'!AP22)</f>
        <v>0</v>
      </c>
      <c r="AQ22" s="12">
        <f t="shared" si="0"/>
        <v>1723.41696</v>
      </c>
    </row>
    <row r="23" spans="1:47" x14ac:dyDescent="0.3">
      <c r="A23" s="4">
        <v>44896</v>
      </c>
      <c r="B23" s="12">
        <f>kWh!B23*('Elec Rates'!B23-'CS Rates'!B23)</f>
        <v>98.872680000000031</v>
      </c>
      <c r="C23" s="12">
        <f>kWh!C23*('Elec Rates'!C23-'CS Rates'!C23)</f>
        <v>304.07659999999998</v>
      </c>
      <c r="D23" s="12">
        <f>kWh!D23*('Elec Rates'!D23-'CS Rates'!D23)</f>
        <v>97.387499999999989</v>
      </c>
      <c r="E23" s="12">
        <f>kWh!E23*('Elec Rates'!E23-'CS Rates'!E23)</f>
        <v>120.95673000000002</v>
      </c>
      <c r="F23" s="12">
        <f>kWh!F23*('Elec Rates'!F23-'CS Rates'!F23)</f>
        <v>166.30212</v>
      </c>
      <c r="G23" s="12">
        <f>kWh!G23*('Elec Rates'!G23-'CS Rates'!G23)</f>
        <v>28.495170000000005</v>
      </c>
      <c r="H23" s="12">
        <f>kWh!H23*('Elec Rates'!H23-'CS Rates'!H23)</f>
        <v>530.19249999999988</v>
      </c>
      <c r="I23" s="12">
        <f>kWh!I23*('Elec Rates'!I23-'CS Rates'!I23)</f>
        <v>0</v>
      </c>
      <c r="J23" s="12">
        <f>kWh!J23*('Elec Rates'!J23-'CS Rates'!J23)</f>
        <v>0</v>
      </c>
      <c r="K23" s="12">
        <f>kWh!K23*('Elec Rates'!K23-'CS Rates'!K23)</f>
        <v>0</v>
      </c>
      <c r="L23" s="12">
        <f>kWh!L23*('Elec Rates'!L23-'CS Rates'!L23)</f>
        <v>0</v>
      </c>
      <c r="M23" s="12">
        <f>kWh!M23*('Elec Rates'!M23-'CS Rates'!M23)</f>
        <v>0</v>
      </c>
      <c r="N23" s="12">
        <f>kWh!N23*('Elec Rates'!N23-'CS Rates'!N23)</f>
        <v>0</v>
      </c>
      <c r="O23" s="12">
        <f>kWh!O23*('Elec Rates'!O23-'CS Rates'!O23)</f>
        <v>0</v>
      </c>
      <c r="P23" s="12">
        <f>kWh!P23*('Elec Rates'!P23-'CS Rates'!P23)</f>
        <v>0</v>
      </c>
      <c r="Q23" s="12">
        <f>kWh!Q23*('Elec Rates'!Q23-'CS Rates'!Q23)</f>
        <v>0</v>
      </c>
      <c r="R23" s="12">
        <f>kWh!R23*('Elec Rates'!R23-'CS Rates'!R23)</f>
        <v>0</v>
      </c>
      <c r="S23" s="12">
        <f>kWh!S23*('Elec Rates'!S23-'CS Rates'!S23)</f>
        <v>0</v>
      </c>
      <c r="T23" s="12">
        <f>kWh!T23*('Elec Rates'!T23-'CS Rates'!T23)</f>
        <v>0</v>
      </c>
      <c r="U23" s="12">
        <f>kWh!U23*('Elec Rates'!U23-'CS Rates'!U23)</f>
        <v>0</v>
      </c>
      <c r="V23" s="12">
        <f>kWh!V23*('Elec Rates'!V23-'CS Rates'!V23)</f>
        <v>0</v>
      </c>
      <c r="W23" s="12">
        <f>kWh!W23*('Elec Rates'!W23-'CS Rates'!W23)</f>
        <v>0</v>
      </c>
      <c r="X23" s="12">
        <f>kWh!X23*('Elec Rates'!X23-'CS Rates'!X23)</f>
        <v>0</v>
      </c>
      <c r="Y23" s="12">
        <f>kWh!Y23*('Elec Rates'!Y23-'CS Rates'!Y23)</f>
        <v>0</v>
      </c>
      <c r="Z23" s="12">
        <f>kWh!Z23*('Elec Rates'!Z23-'CS Rates'!Z23)</f>
        <v>0</v>
      </c>
      <c r="AA23" s="12">
        <f>kWh!AA23*('Elec Rates'!AA23-'CS Rates'!AA23)</f>
        <v>0</v>
      </c>
      <c r="AB23" s="12">
        <f>kWh!AB23*('Elec Rates'!AB23-'CS Rates'!AB23)</f>
        <v>0</v>
      </c>
      <c r="AC23" s="12">
        <f>kWh!AC23*('Elec Rates'!AC23-'CS Rates'!AC23)</f>
        <v>0</v>
      </c>
      <c r="AD23" s="12">
        <f>kWh!AD23*('Elec Rates'!AD23-'CS Rates'!AD23)</f>
        <v>0</v>
      </c>
      <c r="AE23" s="12">
        <f>kWh!AE23*('Elec Rates'!AE23-'CS Rates'!AE23)</f>
        <v>0</v>
      </c>
      <c r="AF23" s="12">
        <f>kWh!AF23*('Elec Rates'!AF23-'CS Rates'!AF23)</f>
        <v>0</v>
      </c>
      <c r="AG23" s="12">
        <f>kWh!AG23*('Elec Rates'!AG23-'CS Rates'!AG23)</f>
        <v>0</v>
      </c>
      <c r="AH23" s="12">
        <f>kWh!AH23*('Elec Rates'!AH23-'CS Rates'!AH23)</f>
        <v>0</v>
      </c>
      <c r="AI23" s="12">
        <f>kWh!AI23*('Elec Rates'!AI23-'CS Rates'!AI23)</f>
        <v>0</v>
      </c>
      <c r="AJ23" s="12">
        <f>kWh!AJ23*('Elec Rates'!AJ23-'CS Rates'!AJ23)</f>
        <v>0</v>
      </c>
      <c r="AK23" s="12">
        <f>kWh!AK23*('Elec Rates'!AK23-'CS Rates'!AK23)</f>
        <v>0</v>
      </c>
      <c r="AL23" s="12">
        <f>kWh!AL23*('Elec Rates'!AL23-'CS Rates'!AL23)</f>
        <v>0</v>
      </c>
      <c r="AM23" s="12">
        <f>kWh!AM23*('Elec Rates'!AM23-'CS Rates'!AM23)</f>
        <v>0</v>
      </c>
      <c r="AN23" s="12">
        <f>kWh!AN23*('Elec Rates'!AN23-'CS Rates'!AN23)</f>
        <v>0</v>
      </c>
      <c r="AO23" s="12">
        <f>kWh!AO23*('Elec Rates'!AO23-'CS Rates'!AO23)</f>
        <v>0</v>
      </c>
      <c r="AP23" s="12">
        <f>kWh!AP23*('Elec Rates'!AP23-'CS Rates'!AP23)</f>
        <v>0</v>
      </c>
      <c r="AQ23" s="12">
        <f t="shared" si="0"/>
        <v>1346.2833000000001</v>
      </c>
    </row>
    <row r="24" spans="1:47" x14ac:dyDescent="0.3">
      <c r="A24" s="4">
        <v>44927</v>
      </c>
      <c r="B24" s="12">
        <f>kWh!B24*('Elec Rates'!B24-'CS Rates'!B24)</f>
        <v>125.57753999999998</v>
      </c>
      <c r="C24" s="12">
        <f>kWh!C24*('Elec Rates'!C24-'CS Rates'!C24)</f>
        <v>459.67372000000012</v>
      </c>
      <c r="D24" s="12">
        <f>kWh!D24*('Elec Rates'!D24-'CS Rates'!D24)</f>
        <v>104.18079999999998</v>
      </c>
      <c r="E24" s="12">
        <f>kWh!E24*('Elec Rates'!E24-'CS Rates'!E24)</f>
        <v>132.33191000000002</v>
      </c>
      <c r="F24" s="12">
        <f>kWh!F24*('Elec Rates'!F24-'CS Rates'!F24)</f>
        <v>215.38782000000003</v>
      </c>
      <c r="G24" s="12">
        <f>kWh!G24*('Elec Rates'!G24-'CS Rates'!G24)</f>
        <v>34.57885000000001</v>
      </c>
      <c r="H24" s="12">
        <f>kWh!H24*('Elec Rates'!H24-'CS Rates'!H24)</f>
        <v>634.80799999999988</v>
      </c>
      <c r="I24" s="12">
        <f>kWh!I24*('Elec Rates'!I24-'CS Rates'!I24)</f>
        <v>0</v>
      </c>
      <c r="J24" s="12">
        <f>kWh!J24*('Elec Rates'!J24-'CS Rates'!J24)</f>
        <v>0</v>
      </c>
      <c r="K24" s="12">
        <f>kWh!K24*('Elec Rates'!K24-'CS Rates'!K24)</f>
        <v>0</v>
      </c>
      <c r="L24" s="12">
        <f>kWh!L24*('Elec Rates'!L24-'CS Rates'!L24)</f>
        <v>0</v>
      </c>
      <c r="M24" s="12">
        <f>kWh!M24*('Elec Rates'!M24-'CS Rates'!M24)</f>
        <v>0</v>
      </c>
      <c r="N24" s="12">
        <f>kWh!N24*('Elec Rates'!N24-'CS Rates'!N24)</f>
        <v>0</v>
      </c>
      <c r="O24" s="12">
        <f>kWh!O24*('Elec Rates'!O24-'CS Rates'!O24)</f>
        <v>0</v>
      </c>
      <c r="P24" s="12">
        <f>kWh!P24*('Elec Rates'!P24-'CS Rates'!P24)</f>
        <v>0</v>
      </c>
      <c r="Q24" s="12">
        <f>kWh!Q24*('Elec Rates'!Q24-'CS Rates'!Q24)</f>
        <v>0</v>
      </c>
      <c r="R24" s="12">
        <f>kWh!R24*('Elec Rates'!R24-'CS Rates'!R24)</f>
        <v>0</v>
      </c>
      <c r="S24" s="12">
        <f>kWh!S24*('Elec Rates'!S24-'CS Rates'!S24)</f>
        <v>0</v>
      </c>
      <c r="T24" s="12">
        <f>kWh!T24*('Elec Rates'!T24-'CS Rates'!T24)</f>
        <v>0</v>
      </c>
      <c r="U24" s="12">
        <f>kWh!U24*('Elec Rates'!U24-'CS Rates'!U24)</f>
        <v>0</v>
      </c>
      <c r="V24" s="12">
        <f>kWh!V24*('Elec Rates'!V24-'CS Rates'!V24)</f>
        <v>0</v>
      </c>
      <c r="W24" s="12">
        <f>kWh!W24*('Elec Rates'!W24-'CS Rates'!W24)</f>
        <v>0</v>
      </c>
      <c r="X24" s="12">
        <f>kWh!X24*('Elec Rates'!X24-'CS Rates'!X24)</f>
        <v>0</v>
      </c>
      <c r="Y24" s="12">
        <f>kWh!Y24*('Elec Rates'!Y24-'CS Rates'!Y24)</f>
        <v>0</v>
      </c>
      <c r="Z24" s="12">
        <f>kWh!Z24*('Elec Rates'!Z24-'CS Rates'!Z24)</f>
        <v>0</v>
      </c>
      <c r="AA24" s="12">
        <f>kWh!AA24*('Elec Rates'!AA24-'CS Rates'!AA24)</f>
        <v>0</v>
      </c>
      <c r="AB24" s="12">
        <f>kWh!AB24*('Elec Rates'!AB24-'CS Rates'!AB24)</f>
        <v>0</v>
      </c>
      <c r="AC24" s="12">
        <f>kWh!AC24*('Elec Rates'!AC24-'CS Rates'!AC24)</f>
        <v>0</v>
      </c>
      <c r="AD24" s="12">
        <f>kWh!AD24*('Elec Rates'!AD24-'CS Rates'!AD24)</f>
        <v>0</v>
      </c>
      <c r="AE24" s="12">
        <f>kWh!AE24*('Elec Rates'!AE24-'CS Rates'!AE24)</f>
        <v>0</v>
      </c>
      <c r="AF24" s="12">
        <f>kWh!AF24*('Elec Rates'!AF24-'CS Rates'!AF24)</f>
        <v>0</v>
      </c>
      <c r="AG24" s="12">
        <f>kWh!AG24*('Elec Rates'!AG24-'CS Rates'!AG24)</f>
        <v>0</v>
      </c>
      <c r="AH24" s="12">
        <f>kWh!AH24*('Elec Rates'!AH24-'CS Rates'!AH24)</f>
        <v>0</v>
      </c>
      <c r="AI24" s="12">
        <f>kWh!AI24*('Elec Rates'!AI24-'CS Rates'!AI24)</f>
        <v>0</v>
      </c>
      <c r="AJ24" s="12">
        <f>kWh!AJ24*('Elec Rates'!AJ24-'CS Rates'!AJ24)</f>
        <v>0</v>
      </c>
      <c r="AK24" s="12">
        <f>kWh!AK24*('Elec Rates'!AK24-'CS Rates'!AK24)</f>
        <v>0</v>
      </c>
      <c r="AL24" s="12">
        <f>kWh!AL24*('Elec Rates'!AL24-'CS Rates'!AL24)</f>
        <v>0</v>
      </c>
      <c r="AM24" s="12">
        <f>kWh!AM24*('Elec Rates'!AM24-'CS Rates'!AM24)</f>
        <v>0</v>
      </c>
      <c r="AN24" s="12">
        <f>kWh!AN24*('Elec Rates'!AN24-'CS Rates'!AN24)</f>
        <v>0</v>
      </c>
      <c r="AO24" s="12">
        <f>kWh!AO24*('Elec Rates'!AO24-'CS Rates'!AO24)</f>
        <v>0</v>
      </c>
      <c r="AP24" s="12">
        <f>kWh!AP24*('Elec Rates'!AP24-'CS Rates'!AP24)</f>
        <v>0</v>
      </c>
      <c r="AQ24" s="12">
        <f t="shared" si="0"/>
        <v>1706.5386400000002</v>
      </c>
    </row>
    <row r="25" spans="1:47" x14ac:dyDescent="0.3">
      <c r="A25" s="4">
        <v>44958</v>
      </c>
      <c r="B25" s="12">
        <f>kWh!B25*('Elec Rates'!B25-'CS Rates'!B25)</f>
        <v>169.52670000000001</v>
      </c>
      <c r="C25" s="12">
        <f>kWh!C25*('Elec Rates'!C25-'CS Rates'!C25)</f>
        <v>585.86779999999999</v>
      </c>
      <c r="D25" s="12">
        <f>kWh!D25*('Elec Rates'!D25-'CS Rates'!D25)</f>
        <v>169.90020000000001</v>
      </c>
      <c r="E25" s="12">
        <f>kWh!E25*('Elec Rates'!E25-'CS Rates'!E25)</f>
        <v>121.78800000000001</v>
      </c>
      <c r="F25" s="12">
        <f>kWh!F25*('Elec Rates'!F25-'CS Rates'!F25)</f>
        <v>272.37629999999996</v>
      </c>
      <c r="G25" s="12">
        <f>kWh!G25*('Elec Rates'!G25-'CS Rates'!G25)</f>
        <v>39.856700000000011</v>
      </c>
      <c r="H25" s="12">
        <f>kWh!H25*('Elec Rates'!H25-'CS Rates'!H25)</f>
        <v>665.83799999999985</v>
      </c>
      <c r="I25" s="12">
        <f>kWh!I25*('Elec Rates'!I25-'CS Rates'!I25)</f>
        <v>0</v>
      </c>
      <c r="J25" s="12">
        <f>kWh!J25*('Elec Rates'!J25-'CS Rates'!J25)</f>
        <v>0</v>
      </c>
      <c r="K25" s="12">
        <f>kWh!K25*('Elec Rates'!K25-'CS Rates'!K25)</f>
        <v>0</v>
      </c>
      <c r="L25" s="12">
        <f>kWh!L25*('Elec Rates'!L25-'CS Rates'!L25)</f>
        <v>0</v>
      </c>
      <c r="M25" s="12">
        <f>kWh!M25*('Elec Rates'!M25-'CS Rates'!M25)</f>
        <v>0</v>
      </c>
      <c r="N25" s="12">
        <f>kWh!N25*('Elec Rates'!N25-'CS Rates'!N25)</f>
        <v>0</v>
      </c>
      <c r="O25" s="12">
        <f>kWh!O25*('Elec Rates'!O25-'CS Rates'!O25)</f>
        <v>0</v>
      </c>
      <c r="P25" s="12">
        <f>kWh!P25*('Elec Rates'!P25-'CS Rates'!P25)</f>
        <v>0</v>
      </c>
      <c r="Q25" s="12">
        <f>kWh!Q25*('Elec Rates'!Q25-'CS Rates'!Q25)</f>
        <v>0</v>
      </c>
      <c r="R25" s="12">
        <f>kWh!R25*('Elec Rates'!R25-'CS Rates'!R25)</f>
        <v>0</v>
      </c>
      <c r="S25" s="12">
        <f>kWh!S25*('Elec Rates'!S25-'CS Rates'!S25)</f>
        <v>0</v>
      </c>
      <c r="T25" s="12">
        <f>kWh!T25*('Elec Rates'!T25-'CS Rates'!T25)</f>
        <v>0</v>
      </c>
      <c r="U25" s="12">
        <f>kWh!U25*('Elec Rates'!U25-'CS Rates'!U25)</f>
        <v>0</v>
      </c>
      <c r="V25" s="12">
        <f>kWh!V25*('Elec Rates'!V25-'CS Rates'!V25)</f>
        <v>0</v>
      </c>
      <c r="W25" s="12">
        <f>kWh!W25*('Elec Rates'!W25-'CS Rates'!W25)</f>
        <v>0</v>
      </c>
      <c r="X25" s="12">
        <f>kWh!X25*('Elec Rates'!X25-'CS Rates'!X25)</f>
        <v>0</v>
      </c>
      <c r="Y25" s="12">
        <f>kWh!Y25*('Elec Rates'!Y25-'CS Rates'!Y25)</f>
        <v>0</v>
      </c>
      <c r="Z25" s="12">
        <f>kWh!Z25*('Elec Rates'!Z25-'CS Rates'!Z25)</f>
        <v>0</v>
      </c>
      <c r="AA25" s="12">
        <f>kWh!AA25*('Elec Rates'!AA25-'CS Rates'!AA25)</f>
        <v>0</v>
      </c>
      <c r="AB25" s="12">
        <f>kWh!AB25*('Elec Rates'!AB25-'CS Rates'!AB25)</f>
        <v>0</v>
      </c>
      <c r="AC25" s="12">
        <f>kWh!AC25*('Elec Rates'!AC25-'CS Rates'!AC25)</f>
        <v>0</v>
      </c>
      <c r="AD25" s="12">
        <f>kWh!AD25*('Elec Rates'!AD25-'CS Rates'!AD25)</f>
        <v>0</v>
      </c>
      <c r="AE25" s="12">
        <f>kWh!AE25*('Elec Rates'!AE25-'CS Rates'!AE25)</f>
        <v>0</v>
      </c>
      <c r="AF25" s="12">
        <f>kWh!AF25*('Elec Rates'!AF25-'CS Rates'!AF25)</f>
        <v>0</v>
      </c>
      <c r="AG25" s="12">
        <f>kWh!AG25*('Elec Rates'!AG25-'CS Rates'!AG25)</f>
        <v>0</v>
      </c>
      <c r="AH25" s="12">
        <f>kWh!AH25*('Elec Rates'!AH25-'CS Rates'!AH25)</f>
        <v>0</v>
      </c>
      <c r="AI25" s="12">
        <f>kWh!AI25*('Elec Rates'!AI25-'CS Rates'!AI25)</f>
        <v>0</v>
      </c>
      <c r="AJ25" s="12">
        <f>kWh!AJ25*('Elec Rates'!AJ25-'CS Rates'!AJ25)</f>
        <v>0</v>
      </c>
      <c r="AK25" s="12">
        <f>kWh!AK25*('Elec Rates'!AK25-'CS Rates'!AK25)</f>
        <v>0</v>
      </c>
      <c r="AL25" s="12">
        <f>kWh!AL25*('Elec Rates'!AL25-'CS Rates'!AL25)</f>
        <v>0</v>
      </c>
      <c r="AM25" s="12">
        <f>kWh!AM25*('Elec Rates'!AM25-'CS Rates'!AM25)</f>
        <v>0</v>
      </c>
      <c r="AN25" s="12">
        <f>kWh!AN25*('Elec Rates'!AN25-'CS Rates'!AN25)</f>
        <v>0</v>
      </c>
      <c r="AO25" s="12">
        <f>kWh!AO25*('Elec Rates'!AO25-'CS Rates'!AO25)</f>
        <v>0</v>
      </c>
      <c r="AP25" s="12">
        <f>kWh!AP25*('Elec Rates'!AP25-'CS Rates'!AP25)</f>
        <v>0</v>
      </c>
      <c r="AQ25" s="12">
        <f t="shared" si="0"/>
        <v>2025.1536999999998</v>
      </c>
    </row>
    <row r="26" spans="1:47" x14ac:dyDescent="0.3">
      <c r="A26" s="4">
        <v>44986</v>
      </c>
      <c r="B26" s="12">
        <f>kWh!B26*('Elec Rates'!B26-'CS Rates'!B26)</f>
        <v>227.20769999999999</v>
      </c>
      <c r="C26" s="12">
        <f>kWh!C26*('Elec Rates'!C26-'CS Rates'!C26)</f>
        <v>776.57670000000019</v>
      </c>
      <c r="D26" s="12">
        <f>kWh!D26*('Elec Rates'!D26-'CS Rates'!D26)</f>
        <v>270.74970000000002</v>
      </c>
      <c r="E26" s="12">
        <f>kWh!E26*('Elec Rates'!E26-'CS Rates'!E26)</f>
        <v>186.0138</v>
      </c>
      <c r="F26" s="12">
        <f>kWh!F26*('Elec Rates'!F26-'CS Rates'!F26)</f>
        <v>440.51489999999995</v>
      </c>
      <c r="G26" s="12">
        <f>kWh!G26*('Elec Rates'!G26-'CS Rates'!G26)</f>
        <v>63.926200000000023</v>
      </c>
      <c r="H26" s="12">
        <f>kWh!H26*('Elec Rates'!H26-'CS Rates'!H26)</f>
        <v>870.07080000000008</v>
      </c>
      <c r="I26" s="12">
        <f>kWh!I26*('Elec Rates'!I26-'CS Rates'!I26)</f>
        <v>0</v>
      </c>
      <c r="J26" s="12">
        <f>kWh!J26*('Elec Rates'!J26-'CS Rates'!J26)</f>
        <v>0</v>
      </c>
      <c r="K26" s="12">
        <f>kWh!K26*('Elec Rates'!K26-'CS Rates'!K26)</f>
        <v>0</v>
      </c>
      <c r="L26" s="12">
        <f>kWh!L26*('Elec Rates'!L26-'CS Rates'!L26)</f>
        <v>0</v>
      </c>
      <c r="M26" s="12">
        <f>kWh!M26*('Elec Rates'!M26-'CS Rates'!M26)</f>
        <v>0</v>
      </c>
      <c r="N26" s="12">
        <f>kWh!N26*('Elec Rates'!N26-'CS Rates'!N26)</f>
        <v>0</v>
      </c>
      <c r="O26" s="12">
        <f>kWh!O26*('Elec Rates'!O26-'CS Rates'!O26)</f>
        <v>0</v>
      </c>
      <c r="P26" s="12">
        <f>kWh!P26*('Elec Rates'!P26-'CS Rates'!P26)</f>
        <v>0</v>
      </c>
      <c r="Q26" s="12">
        <f>kWh!Q26*('Elec Rates'!Q26-'CS Rates'!Q26)</f>
        <v>0</v>
      </c>
      <c r="R26" s="12">
        <f>kWh!R26*('Elec Rates'!R26-'CS Rates'!R26)</f>
        <v>0</v>
      </c>
      <c r="S26" s="12">
        <f>kWh!S26*('Elec Rates'!S26-'CS Rates'!S26)</f>
        <v>0</v>
      </c>
      <c r="T26" s="12">
        <f>kWh!T26*('Elec Rates'!T26-'CS Rates'!T26)</f>
        <v>0</v>
      </c>
      <c r="U26" s="12">
        <f>kWh!U26*('Elec Rates'!U26-'CS Rates'!U26)</f>
        <v>0</v>
      </c>
      <c r="V26" s="12">
        <f>kWh!V26*('Elec Rates'!V26-'CS Rates'!V26)</f>
        <v>0</v>
      </c>
      <c r="W26" s="12">
        <f>kWh!W26*('Elec Rates'!W26-'CS Rates'!W26)</f>
        <v>0</v>
      </c>
      <c r="X26" s="12">
        <f>kWh!X26*('Elec Rates'!X26-'CS Rates'!X26)</f>
        <v>0</v>
      </c>
      <c r="Y26" s="12">
        <f>kWh!Y26*('Elec Rates'!Y26-'CS Rates'!Y26)</f>
        <v>0</v>
      </c>
      <c r="Z26" s="12">
        <f>kWh!Z26*('Elec Rates'!Z26-'CS Rates'!Z26)</f>
        <v>0</v>
      </c>
      <c r="AA26" s="12">
        <f>kWh!AA26*('Elec Rates'!AA26-'CS Rates'!AA26)</f>
        <v>0</v>
      </c>
      <c r="AB26" s="12">
        <f>kWh!AB26*('Elec Rates'!AB26-'CS Rates'!AB26)</f>
        <v>0</v>
      </c>
      <c r="AC26" s="12">
        <f>kWh!AC26*('Elec Rates'!AC26-'CS Rates'!AC26)</f>
        <v>0</v>
      </c>
      <c r="AD26" s="12">
        <f>kWh!AD26*('Elec Rates'!AD26-'CS Rates'!AD26)</f>
        <v>0</v>
      </c>
      <c r="AE26" s="12">
        <f>kWh!AE26*('Elec Rates'!AE26-'CS Rates'!AE26)</f>
        <v>0</v>
      </c>
      <c r="AF26" s="12">
        <f>kWh!AF26*('Elec Rates'!AF26-'CS Rates'!AF26)</f>
        <v>0</v>
      </c>
      <c r="AG26" s="12">
        <f>kWh!AG26*('Elec Rates'!AG26-'CS Rates'!AG26)</f>
        <v>0</v>
      </c>
      <c r="AH26" s="12">
        <f>kWh!AH26*('Elec Rates'!AH26-'CS Rates'!AH26)</f>
        <v>0</v>
      </c>
      <c r="AI26" s="12">
        <f>kWh!AI26*('Elec Rates'!AI26-'CS Rates'!AI26)</f>
        <v>0</v>
      </c>
      <c r="AJ26" s="12">
        <f>kWh!AJ26*('Elec Rates'!AJ26-'CS Rates'!AJ26)</f>
        <v>0</v>
      </c>
      <c r="AK26" s="12">
        <f>kWh!AK26*('Elec Rates'!AK26-'CS Rates'!AK26)</f>
        <v>0</v>
      </c>
      <c r="AL26" s="12">
        <f>kWh!AL26*('Elec Rates'!AL26-'CS Rates'!AL26)</f>
        <v>0</v>
      </c>
      <c r="AM26" s="12">
        <f>kWh!AM26*('Elec Rates'!AM26-'CS Rates'!AM26)</f>
        <v>0</v>
      </c>
      <c r="AN26" s="12">
        <f>kWh!AN26*('Elec Rates'!AN26-'CS Rates'!AN26)</f>
        <v>0</v>
      </c>
      <c r="AO26" s="12">
        <f>kWh!AO26*('Elec Rates'!AO26-'CS Rates'!AO26)</f>
        <v>0</v>
      </c>
      <c r="AP26" s="12">
        <f>kWh!AP26*('Elec Rates'!AP26-'CS Rates'!AP26)</f>
        <v>0</v>
      </c>
      <c r="AQ26" s="12">
        <f t="shared" si="0"/>
        <v>2835.0598000000005</v>
      </c>
    </row>
    <row r="27" spans="1:47" x14ac:dyDescent="0.3">
      <c r="A27" s="4">
        <v>45017</v>
      </c>
      <c r="B27" s="12">
        <f>kWh!B27*('Elec Rates'!B27-'CS Rates'!B27)</f>
        <v>282.51550000000003</v>
      </c>
      <c r="C27" s="12">
        <f>kWh!C27*('Elec Rates'!C27-'CS Rates'!C27)</f>
        <v>477.34190000000007</v>
      </c>
      <c r="D27" s="12">
        <f>kWh!D27*('Elec Rates'!D27-'CS Rates'!D27)</f>
        <v>359.1957000000001</v>
      </c>
      <c r="E27" s="12">
        <f>kWh!E27*('Elec Rates'!E27-'CS Rates'!E27)</f>
        <v>165.88469999999998</v>
      </c>
      <c r="F27" s="12">
        <f>kWh!F27*('Elec Rates'!F27-'CS Rates'!F27)</f>
        <v>456.8993000000001</v>
      </c>
      <c r="G27" s="12">
        <f>kWh!G27*('Elec Rates'!G27-'CS Rates'!G27)</f>
        <v>73.688999999999993</v>
      </c>
      <c r="H27" s="12">
        <f>kWh!H27*('Elec Rates'!H27-'CS Rates'!H27)</f>
        <v>1000.2906000000002</v>
      </c>
      <c r="I27" s="12">
        <f>kWh!I27*('Elec Rates'!I27-'CS Rates'!I27)</f>
        <v>0</v>
      </c>
      <c r="J27" s="12">
        <f>kWh!J27*('Elec Rates'!J27-'CS Rates'!J27)</f>
        <v>0</v>
      </c>
      <c r="K27" s="12">
        <f>kWh!K27*('Elec Rates'!K27-'CS Rates'!K27)</f>
        <v>0</v>
      </c>
      <c r="L27" s="12">
        <f>kWh!L27*('Elec Rates'!L27-'CS Rates'!L27)</f>
        <v>0</v>
      </c>
      <c r="M27" s="12">
        <f>kWh!M27*('Elec Rates'!M27-'CS Rates'!M27)</f>
        <v>0</v>
      </c>
      <c r="N27" s="12">
        <f>kWh!N27*('Elec Rates'!N27-'CS Rates'!N27)</f>
        <v>0</v>
      </c>
      <c r="O27" s="12">
        <f>kWh!O27*('Elec Rates'!O27-'CS Rates'!O27)</f>
        <v>0</v>
      </c>
      <c r="P27" s="12">
        <f>kWh!P27*('Elec Rates'!P27-'CS Rates'!P27)</f>
        <v>0</v>
      </c>
      <c r="Q27" s="12">
        <f>kWh!Q27*('Elec Rates'!Q27-'CS Rates'!Q27)</f>
        <v>0</v>
      </c>
      <c r="R27" s="12">
        <f>kWh!R27*('Elec Rates'!R27-'CS Rates'!R27)</f>
        <v>0</v>
      </c>
      <c r="S27" s="12">
        <f>kWh!S27*('Elec Rates'!S27-'CS Rates'!S27)</f>
        <v>0</v>
      </c>
      <c r="T27" s="12">
        <f>kWh!T27*('Elec Rates'!T27-'CS Rates'!T27)</f>
        <v>0</v>
      </c>
      <c r="U27" s="12">
        <f>kWh!U27*('Elec Rates'!U27-'CS Rates'!U27)</f>
        <v>0</v>
      </c>
      <c r="V27" s="12">
        <f>kWh!V27*('Elec Rates'!V27-'CS Rates'!V27)</f>
        <v>0</v>
      </c>
      <c r="W27" s="12">
        <f>kWh!W27*('Elec Rates'!W27-'CS Rates'!W27)</f>
        <v>0</v>
      </c>
      <c r="X27" s="12">
        <f>kWh!X27*('Elec Rates'!X27-'CS Rates'!X27)</f>
        <v>0</v>
      </c>
      <c r="Y27" s="12">
        <f>kWh!Y27*('Elec Rates'!Y27-'CS Rates'!Y27)</f>
        <v>0</v>
      </c>
      <c r="Z27" s="12">
        <f>kWh!Z27*('Elec Rates'!Z27-'CS Rates'!Z27)</f>
        <v>0</v>
      </c>
      <c r="AA27" s="12">
        <f>kWh!AA27*('Elec Rates'!AA27-'CS Rates'!AA27)</f>
        <v>0</v>
      </c>
      <c r="AB27" s="12">
        <f>kWh!AB27*('Elec Rates'!AB27-'CS Rates'!AB27)</f>
        <v>0</v>
      </c>
      <c r="AC27" s="12">
        <f>kWh!AC27*('Elec Rates'!AC27-'CS Rates'!AC27)</f>
        <v>0</v>
      </c>
      <c r="AD27" s="12">
        <f>kWh!AD27*('Elec Rates'!AD27-'CS Rates'!AD27)</f>
        <v>0</v>
      </c>
      <c r="AE27" s="12">
        <f>kWh!AE27*('Elec Rates'!AE27-'CS Rates'!AE27)</f>
        <v>0</v>
      </c>
      <c r="AF27" s="12">
        <f>kWh!AF27*('Elec Rates'!AF27-'CS Rates'!AF27)</f>
        <v>0</v>
      </c>
      <c r="AG27" s="12">
        <f>kWh!AG27*('Elec Rates'!AG27-'CS Rates'!AG27)</f>
        <v>0</v>
      </c>
      <c r="AH27" s="12">
        <f>kWh!AH27*('Elec Rates'!AH27-'CS Rates'!AH27)</f>
        <v>0</v>
      </c>
      <c r="AI27" s="12">
        <f>kWh!AI27*('Elec Rates'!AI27-'CS Rates'!AI27)</f>
        <v>0</v>
      </c>
      <c r="AJ27" s="12">
        <f>kWh!AJ27*('Elec Rates'!AJ27-'CS Rates'!AJ27)</f>
        <v>0</v>
      </c>
      <c r="AK27" s="12">
        <f>kWh!AK27*('Elec Rates'!AK27-'CS Rates'!AK27)</f>
        <v>0</v>
      </c>
      <c r="AL27" s="12">
        <f>kWh!AL27*('Elec Rates'!AL27-'CS Rates'!AL27)</f>
        <v>0</v>
      </c>
      <c r="AM27" s="12">
        <f>kWh!AM27*('Elec Rates'!AM27-'CS Rates'!AM27)</f>
        <v>0</v>
      </c>
      <c r="AN27" s="12">
        <f>kWh!AN27*('Elec Rates'!AN27-'CS Rates'!AN27)</f>
        <v>0</v>
      </c>
      <c r="AO27" s="12">
        <f>kWh!AO27*('Elec Rates'!AO27-'CS Rates'!AO27)</f>
        <v>0</v>
      </c>
      <c r="AP27" s="12">
        <f>kWh!AP27*('Elec Rates'!AP27-'CS Rates'!AP27)</f>
        <v>0</v>
      </c>
      <c r="AQ27" s="12">
        <f t="shared" si="0"/>
        <v>2815.8167000000003</v>
      </c>
      <c r="AT27" s="1">
        <v>6720</v>
      </c>
      <c r="AU27" s="1" t="s">
        <v>26</v>
      </c>
    </row>
    <row r="28" spans="1:47" x14ac:dyDescent="0.3">
      <c r="A28" s="4">
        <v>45047</v>
      </c>
      <c r="B28" s="12">
        <f>kWh!B28*('Elec Rates'!B28-'CS Rates'!B28)</f>
        <v>289.81610000000001</v>
      </c>
      <c r="C28" s="12">
        <f>kWh!C28*('Elec Rates'!C28-'CS Rates'!C28)</f>
        <v>364.99079999999998</v>
      </c>
      <c r="D28" s="12">
        <f>kWh!D28*('Elec Rates'!D28-'CS Rates'!D28)</f>
        <v>292.74630000000002</v>
      </c>
      <c r="E28" s="12">
        <f>kWh!E28*('Elec Rates'!E28-'CS Rates'!E28)</f>
        <v>162.15669999999997</v>
      </c>
      <c r="F28" s="12">
        <f>kWh!F28*('Elec Rates'!F28-'CS Rates'!F28)</f>
        <v>470.13460000000003</v>
      </c>
      <c r="G28" s="12">
        <f>kWh!G28*('Elec Rates'!G28-'CS Rates'!G28)</f>
        <v>71.903200000000027</v>
      </c>
      <c r="H28" s="12">
        <f>kWh!H28*('Elec Rates'!H28-'CS Rates'!H28)</f>
        <v>1044.7786000000003</v>
      </c>
      <c r="I28" s="12">
        <f>kWh!I28*('Elec Rates'!I28-'CS Rates'!I28)</f>
        <v>0</v>
      </c>
      <c r="J28" s="12">
        <f>kWh!J28*('Elec Rates'!J28-'CS Rates'!J28)</f>
        <v>0</v>
      </c>
      <c r="K28" s="12">
        <f>kWh!K28*('Elec Rates'!K28-'CS Rates'!K28)</f>
        <v>0</v>
      </c>
      <c r="L28" s="12">
        <f>kWh!L28*('Elec Rates'!L28-'CS Rates'!L28)</f>
        <v>0</v>
      </c>
      <c r="M28" s="12">
        <f>kWh!M28*('Elec Rates'!M28-'CS Rates'!M28)</f>
        <v>0</v>
      </c>
      <c r="N28" s="12">
        <f>kWh!N28*('Elec Rates'!N28-'CS Rates'!N28)</f>
        <v>0</v>
      </c>
      <c r="O28" s="12">
        <f>kWh!O28*('Elec Rates'!O28-'CS Rates'!O28)</f>
        <v>0</v>
      </c>
      <c r="P28" s="12">
        <f>kWh!P28*('Elec Rates'!P28-'CS Rates'!P28)</f>
        <v>0</v>
      </c>
      <c r="Q28" s="12">
        <f>kWh!Q28*('Elec Rates'!Q28-'CS Rates'!Q28)</f>
        <v>0</v>
      </c>
      <c r="R28" s="12">
        <f>kWh!R28*('Elec Rates'!R28-'CS Rates'!R28)</f>
        <v>0</v>
      </c>
      <c r="S28" s="12">
        <f>kWh!S28*('Elec Rates'!S28-'CS Rates'!S28)</f>
        <v>0</v>
      </c>
      <c r="T28" s="12">
        <f>kWh!T28*('Elec Rates'!T28-'CS Rates'!T28)</f>
        <v>0</v>
      </c>
      <c r="U28" s="12">
        <f>kWh!U28*('Elec Rates'!U28-'CS Rates'!U28)</f>
        <v>0</v>
      </c>
      <c r="V28" s="12">
        <f>kWh!V28*('Elec Rates'!V28-'CS Rates'!V28)</f>
        <v>0</v>
      </c>
      <c r="W28" s="12">
        <f>kWh!W28*('Elec Rates'!W28-'CS Rates'!W28)</f>
        <v>0</v>
      </c>
      <c r="X28" s="12">
        <f>kWh!X28*('Elec Rates'!X28-'CS Rates'!X28)</f>
        <v>0</v>
      </c>
      <c r="Y28" s="12">
        <f>kWh!Y28*('Elec Rates'!Y28-'CS Rates'!Y28)</f>
        <v>0</v>
      </c>
      <c r="Z28" s="12">
        <f>kWh!Z28*('Elec Rates'!Z28-'CS Rates'!Z28)</f>
        <v>0</v>
      </c>
      <c r="AA28" s="12">
        <f>kWh!AA28*('Elec Rates'!AA28-'CS Rates'!AA28)</f>
        <v>0</v>
      </c>
      <c r="AB28" s="12">
        <f>kWh!AB28*('Elec Rates'!AB28-'CS Rates'!AB28)</f>
        <v>0</v>
      </c>
      <c r="AC28" s="12">
        <f>kWh!AC28*('Elec Rates'!AC28-'CS Rates'!AC28)</f>
        <v>0</v>
      </c>
      <c r="AD28" s="12">
        <f>kWh!AD28*('Elec Rates'!AD28-'CS Rates'!AD28)</f>
        <v>0</v>
      </c>
      <c r="AE28" s="12">
        <f>kWh!AE28*('Elec Rates'!AE28-'CS Rates'!AE28)</f>
        <v>0</v>
      </c>
      <c r="AF28" s="12">
        <f>kWh!AF28*('Elec Rates'!AF28-'CS Rates'!AF28)</f>
        <v>0</v>
      </c>
      <c r="AG28" s="12">
        <f>kWh!AG28*('Elec Rates'!AG28-'CS Rates'!AG28)</f>
        <v>0</v>
      </c>
      <c r="AH28" s="12">
        <f>kWh!AH28*('Elec Rates'!AH28-'CS Rates'!AH28)</f>
        <v>0</v>
      </c>
      <c r="AI28" s="12">
        <f>kWh!AI28*('Elec Rates'!AI28-'CS Rates'!AI28)</f>
        <v>0</v>
      </c>
      <c r="AJ28" s="12">
        <f>kWh!AJ28*('Elec Rates'!AJ28-'CS Rates'!AJ28)</f>
        <v>0</v>
      </c>
      <c r="AK28" s="12">
        <f>kWh!AK28*('Elec Rates'!AK28-'CS Rates'!AK28)</f>
        <v>0</v>
      </c>
      <c r="AL28" s="12">
        <f>kWh!AL28*('Elec Rates'!AL28-'CS Rates'!AL28)</f>
        <v>0</v>
      </c>
      <c r="AM28" s="12">
        <f>kWh!AM28*('Elec Rates'!AM28-'CS Rates'!AM28)</f>
        <v>0</v>
      </c>
      <c r="AN28" s="12">
        <f>kWh!AN28*('Elec Rates'!AN28-'CS Rates'!AN28)</f>
        <v>0</v>
      </c>
      <c r="AO28" s="12">
        <f>kWh!AO28*('Elec Rates'!AO28-'CS Rates'!AO28)</f>
        <v>0</v>
      </c>
      <c r="AP28" s="12">
        <f>kWh!AP28*('Elec Rates'!AP28-'CS Rates'!AP28)</f>
        <v>0</v>
      </c>
      <c r="AQ28" s="12">
        <f t="shared" si="0"/>
        <v>2696.5263000000004</v>
      </c>
      <c r="AT28" s="1">
        <v>17</v>
      </c>
      <c r="AU28" s="1" t="s">
        <v>27</v>
      </c>
    </row>
    <row r="29" spans="1:47" x14ac:dyDescent="0.3">
      <c r="A29" s="4">
        <v>45078</v>
      </c>
      <c r="B29" s="12">
        <f>kWh!B29*('Elec Rates'!B29-'CS Rates'!B29)</f>
        <v>919.98720000000003</v>
      </c>
      <c r="C29" s="12">
        <f>kWh!C29*('Elec Rates'!C29-'CS Rates'!C29)</f>
        <v>405.03190000000001</v>
      </c>
      <c r="D29" s="12">
        <f>kWh!D29*('Elec Rates'!D29-'CS Rates'!D29)</f>
        <v>1099.7921999999999</v>
      </c>
      <c r="E29" s="12">
        <f>kWh!E29*('Elec Rates'!E29-'CS Rates'!E29)</f>
        <v>769.33740000000023</v>
      </c>
      <c r="F29" s="12">
        <f>kWh!F29*('Elec Rates'!F29-'CS Rates'!F29)</f>
        <v>421.86810000000003</v>
      </c>
      <c r="G29" s="12">
        <f>kWh!G29*('Elec Rates'!G29-'CS Rates'!G29)</f>
        <v>250.53600000000003</v>
      </c>
      <c r="H29" s="12">
        <f>kWh!H29*('Elec Rates'!H29-'CS Rates'!H29)</f>
        <v>989.44230000000016</v>
      </c>
      <c r="I29" s="12">
        <f>kWh!I29*('Elec Rates'!I29-'CS Rates'!I29)</f>
        <v>0</v>
      </c>
      <c r="J29" s="12">
        <f>kWh!J29*('Elec Rates'!J29-'CS Rates'!J29)</f>
        <v>0</v>
      </c>
      <c r="K29" s="12">
        <f>kWh!K29*('Elec Rates'!K29-'CS Rates'!K29)</f>
        <v>0</v>
      </c>
      <c r="L29" s="12">
        <f>kWh!L29*('Elec Rates'!L29-'CS Rates'!L29)</f>
        <v>0</v>
      </c>
      <c r="M29" s="12">
        <f>kWh!M29*('Elec Rates'!M29-'CS Rates'!M29)</f>
        <v>0</v>
      </c>
      <c r="N29" s="12">
        <f>kWh!N29*('Elec Rates'!N29-'CS Rates'!N29)</f>
        <v>0</v>
      </c>
      <c r="O29" s="12">
        <f>kWh!O29*('Elec Rates'!O29-'CS Rates'!O29)</f>
        <v>0</v>
      </c>
      <c r="P29" s="12">
        <f>kWh!P29*('Elec Rates'!P29-'CS Rates'!P29)</f>
        <v>0</v>
      </c>
      <c r="Q29" s="12">
        <f>kWh!Q29*('Elec Rates'!Q29-'CS Rates'!Q29)</f>
        <v>0</v>
      </c>
      <c r="R29" s="12">
        <f>kWh!R29*('Elec Rates'!R29-'CS Rates'!R29)</f>
        <v>0</v>
      </c>
      <c r="S29" s="12">
        <f>kWh!S29*('Elec Rates'!S29-'CS Rates'!S29)</f>
        <v>0</v>
      </c>
      <c r="T29" s="12">
        <f>kWh!T29*('Elec Rates'!T29-'CS Rates'!T29)</f>
        <v>0</v>
      </c>
      <c r="U29" s="12">
        <f>kWh!U29*('Elec Rates'!U29-'CS Rates'!U29)</f>
        <v>0</v>
      </c>
      <c r="V29" s="12">
        <f>kWh!V29*('Elec Rates'!V29-'CS Rates'!V29)</f>
        <v>0</v>
      </c>
      <c r="W29" s="12">
        <f>kWh!W29*('Elec Rates'!W29-'CS Rates'!W29)</f>
        <v>0</v>
      </c>
      <c r="X29" s="12">
        <f>kWh!X29*('Elec Rates'!X29-'CS Rates'!X29)</f>
        <v>0</v>
      </c>
      <c r="Y29" s="12">
        <f>kWh!Y29*('Elec Rates'!Y29-'CS Rates'!Y29)</f>
        <v>0</v>
      </c>
      <c r="Z29" s="12">
        <f>kWh!Z29*('Elec Rates'!Z29-'CS Rates'!Z29)</f>
        <v>0</v>
      </c>
      <c r="AA29" s="12">
        <f>kWh!AA29*('Elec Rates'!AA29-'CS Rates'!AA29)</f>
        <v>0</v>
      </c>
      <c r="AB29" s="12">
        <f>kWh!AB29*('Elec Rates'!AB29-'CS Rates'!AB29)</f>
        <v>0</v>
      </c>
      <c r="AC29" s="12">
        <f>kWh!AC29*('Elec Rates'!AC29-'CS Rates'!AC29)</f>
        <v>0</v>
      </c>
      <c r="AD29" s="12">
        <f>kWh!AD29*('Elec Rates'!AD29-'CS Rates'!AD29)</f>
        <v>0</v>
      </c>
      <c r="AE29" s="12">
        <f>kWh!AE29*('Elec Rates'!AE29-'CS Rates'!AE29)</f>
        <v>0</v>
      </c>
      <c r="AF29" s="12">
        <f>kWh!AF29*('Elec Rates'!AF29-'CS Rates'!AF29)</f>
        <v>0</v>
      </c>
      <c r="AG29" s="12">
        <f>kWh!AG29*('Elec Rates'!AG29-'CS Rates'!AG29)</f>
        <v>0</v>
      </c>
      <c r="AH29" s="12">
        <f>kWh!AH29*('Elec Rates'!AH29-'CS Rates'!AH29)</f>
        <v>0</v>
      </c>
      <c r="AI29" s="12">
        <f>kWh!AI29*('Elec Rates'!AI29-'CS Rates'!AI29)</f>
        <v>0</v>
      </c>
      <c r="AJ29" s="12">
        <f>kWh!AJ29*('Elec Rates'!AJ29-'CS Rates'!AJ29)</f>
        <v>0</v>
      </c>
      <c r="AK29" s="12">
        <f>kWh!AK29*('Elec Rates'!AK29-'CS Rates'!AK29)</f>
        <v>0</v>
      </c>
      <c r="AL29" s="12">
        <f>kWh!AL29*('Elec Rates'!AL29-'CS Rates'!AL29)</f>
        <v>0</v>
      </c>
      <c r="AM29" s="12">
        <f>kWh!AM29*('Elec Rates'!AM29-'CS Rates'!AM29)</f>
        <v>0</v>
      </c>
      <c r="AN29" s="12">
        <f>kWh!AN29*('Elec Rates'!AN29-'CS Rates'!AN29)</f>
        <v>0</v>
      </c>
      <c r="AO29" s="12">
        <f>kWh!AO29*('Elec Rates'!AO29-'CS Rates'!AO29)</f>
        <v>0</v>
      </c>
      <c r="AP29" s="12">
        <f>kWh!AP29*('Elec Rates'!AP29-'CS Rates'!AP29)</f>
        <v>0</v>
      </c>
      <c r="AQ29" s="12">
        <f t="shared" si="0"/>
        <v>4855.9951000000001</v>
      </c>
      <c r="AT29" s="16">
        <f>AT27*AT28</f>
        <v>114240</v>
      </c>
    </row>
    <row r="30" spans="1:47" x14ac:dyDescent="0.3">
      <c r="A30" s="4">
        <v>45108</v>
      </c>
      <c r="B30" s="12">
        <f>kWh!B30*('Elec Rates'!B30-'CS Rates'!B30)</f>
        <v>945.75389999999993</v>
      </c>
      <c r="C30" s="12">
        <f>kWh!C30*('Elec Rates'!C30-'CS Rates'!C30)</f>
        <v>495.40819999999997</v>
      </c>
      <c r="D30" s="12">
        <f>kWh!D30*('Elec Rates'!D30-'CS Rates'!D30)</f>
        <v>1381.2606000000001</v>
      </c>
      <c r="E30" s="12">
        <f>kWh!E30*('Elec Rates'!E30-'CS Rates'!E30)</f>
        <v>1075.9567000000002</v>
      </c>
      <c r="F30" s="12">
        <f>kWh!F30*('Elec Rates'!F30-'CS Rates'!F30)</f>
        <v>646.74060000000009</v>
      </c>
      <c r="G30" s="12">
        <f>kWh!G30*('Elec Rates'!G30-'CS Rates'!G30)</f>
        <v>307.81709999999998</v>
      </c>
      <c r="H30" s="12">
        <f>kWh!H30*('Elec Rates'!H30-'CS Rates'!H30)</f>
        <v>1158.0107000000003</v>
      </c>
      <c r="I30" s="12">
        <f>kWh!I30*('Elec Rates'!I30-'CS Rates'!I30)</f>
        <v>0</v>
      </c>
      <c r="J30" s="12">
        <f>kWh!J30*('Elec Rates'!J30-'CS Rates'!J30)</f>
        <v>0</v>
      </c>
      <c r="K30" s="12">
        <f>kWh!K30*('Elec Rates'!K30-'CS Rates'!K30)</f>
        <v>0</v>
      </c>
      <c r="L30" s="12">
        <f>kWh!L30*('Elec Rates'!L30-'CS Rates'!L30)</f>
        <v>0</v>
      </c>
      <c r="M30" s="12">
        <f>kWh!M30*('Elec Rates'!M30-'CS Rates'!M30)</f>
        <v>0</v>
      </c>
      <c r="N30" s="12">
        <f>kWh!N30*('Elec Rates'!N30-'CS Rates'!N30)</f>
        <v>0</v>
      </c>
      <c r="O30" s="12">
        <f>kWh!O30*('Elec Rates'!O30-'CS Rates'!O30)</f>
        <v>0</v>
      </c>
      <c r="P30" s="12">
        <f>kWh!P30*('Elec Rates'!P30-'CS Rates'!P30)</f>
        <v>0</v>
      </c>
      <c r="Q30" s="12">
        <f>kWh!Q30*('Elec Rates'!Q30-'CS Rates'!Q30)</f>
        <v>0</v>
      </c>
      <c r="R30" s="12">
        <f>kWh!R30*('Elec Rates'!R30-'CS Rates'!R30)</f>
        <v>0</v>
      </c>
      <c r="S30" s="12">
        <f>kWh!S30*('Elec Rates'!S30-'CS Rates'!S30)</f>
        <v>0</v>
      </c>
      <c r="T30" s="12">
        <f>kWh!T30*('Elec Rates'!T30-'CS Rates'!T30)</f>
        <v>0</v>
      </c>
      <c r="U30" s="12">
        <f>kWh!U30*('Elec Rates'!U30-'CS Rates'!U30)</f>
        <v>0</v>
      </c>
      <c r="V30" s="12">
        <f>kWh!V30*('Elec Rates'!V30-'CS Rates'!V30)</f>
        <v>0</v>
      </c>
      <c r="W30" s="12">
        <f>kWh!W30*('Elec Rates'!W30-'CS Rates'!W30)</f>
        <v>0</v>
      </c>
      <c r="X30" s="12">
        <f>kWh!X30*('Elec Rates'!X30-'CS Rates'!X30)</f>
        <v>0</v>
      </c>
      <c r="Y30" s="12">
        <f>kWh!Y30*('Elec Rates'!Y30-'CS Rates'!Y30)</f>
        <v>0</v>
      </c>
      <c r="Z30" s="12">
        <f>kWh!Z30*('Elec Rates'!Z30-'CS Rates'!Z30)</f>
        <v>0</v>
      </c>
      <c r="AA30" s="12">
        <f>kWh!AA30*('Elec Rates'!AA30-'CS Rates'!AA30)</f>
        <v>0</v>
      </c>
      <c r="AB30" s="12">
        <f>kWh!AB30*('Elec Rates'!AB30-'CS Rates'!AB30)</f>
        <v>0</v>
      </c>
      <c r="AC30" s="12">
        <f>kWh!AC30*('Elec Rates'!AC30-'CS Rates'!AC30)</f>
        <v>0</v>
      </c>
      <c r="AD30" s="12">
        <f>kWh!AD30*('Elec Rates'!AD30-'CS Rates'!AD30)</f>
        <v>0</v>
      </c>
      <c r="AE30" s="12">
        <f>kWh!AE30*('Elec Rates'!AE30-'CS Rates'!AE30)</f>
        <v>0</v>
      </c>
      <c r="AF30" s="12">
        <f>kWh!AF30*('Elec Rates'!AF30-'CS Rates'!AF30)</f>
        <v>0</v>
      </c>
      <c r="AG30" s="12">
        <f>kWh!AG30*('Elec Rates'!AG30-'CS Rates'!AG30)</f>
        <v>0</v>
      </c>
      <c r="AH30" s="12">
        <f>kWh!AH30*('Elec Rates'!AH30-'CS Rates'!AH30)</f>
        <v>0</v>
      </c>
      <c r="AI30" s="12">
        <f>kWh!AI30*('Elec Rates'!AI30-'CS Rates'!AI30)</f>
        <v>0</v>
      </c>
      <c r="AJ30" s="12">
        <f>kWh!AJ30*('Elec Rates'!AJ30-'CS Rates'!AJ30)</f>
        <v>0</v>
      </c>
      <c r="AK30" s="12">
        <f>kWh!AK30*('Elec Rates'!AK30-'CS Rates'!AK30)</f>
        <v>0</v>
      </c>
      <c r="AL30" s="12">
        <f>kWh!AL30*('Elec Rates'!AL30-'CS Rates'!AL30)</f>
        <v>0</v>
      </c>
      <c r="AM30" s="12">
        <f>kWh!AM30*('Elec Rates'!AM30-'CS Rates'!AM30)</f>
        <v>0</v>
      </c>
      <c r="AN30" s="12">
        <f>kWh!AN30*('Elec Rates'!AN30-'CS Rates'!AN30)</f>
        <v>0</v>
      </c>
      <c r="AO30" s="12">
        <f>kWh!AO30*('Elec Rates'!AO30-'CS Rates'!AO30)</f>
        <v>0</v>
      </c>
      <c r="AP30" s="12">
        <f>kWh!AP30*('Elec Rates'!AP30-'CS Rates'!AP30)</f>
        <v>0</v>
      </c>
      <c r="AQ30" s="12">
        <f t="shared" si="0"/>
        <v>6010.9478000000017</v>
      </c>
    </row>
    <row r="31" spans="1:47" x14ac:dyDescent="0.3">
      <c r="A31" s="4">
        <v>45139</v>
      </c>
      <c r="B31" s="12">
        <f>kWh!B31*('Elec Rates'!B31-'CS Rates'!B31)</f>
        <v>961.9701</v>
      </c>
      <c r="C31" s="12">
        <f>kWh!C31*('Elec Rates'!C31-'CS Rates'!C31)</f>
        <v>410.76619999999997</v>
      </c>
      <c r="D31" s="12">
        <f>kWh!D31*('Elec Rates'!D31-'CS Rates'!D31)</f>
        <v>1211.4378000000002</v>
      </c>
      <c r="E31" s="12">
        <f>kWh!E31*('Elec Rates'!E31-'CS Rates'!E31)</f>
        <v>1180.4259999999999</v>
      </c>
      <c r="F31" s="12">
        <f>kWh!F31*('Elec Rates'!F31-'CS Rates'!F31)</f>
        <v>642.61680000000013</v>
      </c>
      <c r="G31" s="12">
        <f>kWh!G31*('Elec Rates'!G31-'CS Rates'!G31)</f>
        <v>314.45820000000003</v>
      </c>
      <c r="H31" s="12">
        <f>kWh!H31*('Elec Rates'!H31-'CS Rates'!H31)</f>
        <v>932.19000000000017</v>
      </c>
      <c r="I31" s="12">
        <f>kWh!I31*('Elec Rates'!I31-'CS Rates'!I31)</f>
        <v>0</v>
      </c>
      <c r="J31" s="12">
        <f>kWh!J31*('Elec Rates'!J31-'CS Rates'!J31)</f>
        <v>0</v>
      </c>
      <c r="K31" s="12">
        <f>kWh!K31*('Elec Rates'!K31-'CS Rates'!K31)</f>
        <v>0</v>
      </c>
      <c r="L31" s="12">
        <f>kWh!L31*('Elec Rates'!L31-'CS Rates'!L31)</f>
        <v>0</v>
      </c>
      <c r="M31" s="12">
        <f>kWh!M31*('Elec Rates'!M31-'CS Rates'!M31)</f>
        <v>0</v>
      </c>
      <c r="N31" s="12">
        <f>kWh!N31*('Elec Rates'!N31-'CS Rates'!N31)</f>
        <v>0</v>
      </c>
      <c r="O31" s="12">
        <f>kWh!O31*('Elec Rates'!O31-'CS Rates'!O31)</f>
        <v>0</v>
      </c>
      <c r="P31" s="12">
        <f>kWh!P31*('Elec Rates'!P31-'CS Rates'!P31)</f>
        <v>0</v>
      </c>
      <c r="Q31" s="12">
        <f>kWh!Q31*('Elec Rates'!Q31-'CS Rates'!Q31)</f>
        <v>0</v>
      </c>
      <c r="R31" s="12">
        <f>kWh!R31*('Elec Rates'!R31-'CS Rates'!R31)</f>
        <v>0</v>
      </c>
      <c r="S31" s="12">
        <f>kWh!S31*('Elec Rates'!S31-'CS Rates'!S31)</f>
        <v>0</v>
      </c>
      <c r="T31" s="12">
        <f>kWh!T31*('Elec Rates'!T31-'CS Rates'!T31)</f>
        <v>0</v>
      </c>
      <c r="U31" s="12">
        <f>kWh!U31*('Elec Rates'!U31-'CS Rates'!U31)</f>
        <v>0</v>
      </c>
      <c r="V31" s="12">
        <f>kWh!V31*('Elec Rates'!V31-'CS Rates'!V31)</f>
        <v>0</v>
      </c>
      <c r="W31" s="12">
        <f>kWh!W31*('Elec Rates'!W31-'CS Rates'!W31)</f>
        <v>0</v>
      </c>
      <c r="X31" s="12">
        <f>kWh!X31*('Elec Rates'!X31-'CS Rates'!X31)</f>
        <v>0</v>
      </c>
      <c r="Y31" s="12">
        <f>kWh!Y31*('Elec Rates'!Y31-'CS Rates'!Y31)</f>
        <v>0</v>
      </c>
      <c r="Z31" s="12">
        <f>kWh!Z31*('Elec Rates'!Z31-'CS Rates'!Z31)</f>
        <v>0</v>
      </c>
      <c r="AA31" s="12">
        <f>kWh!AA31*('Elec Rates'!AA31-'CS Rates'!AA31)</f>
        <v>0</v>
      </c>
      <c r="AB31" s="12">
        <f>kWh!AB31*('Elec Rates'!AB31-'CS Rates'!AB31)</f>
        <v>0</v>
      </c>
      <c r="AC31" s="12">
        <f>kWh!AC31*('Elec Rates'!AC31-'CS Rates'!AC31)</f>
        <v>0</v>
      </c>
      <c r="AD31" s="12">
        <f>kWh!AD31*('Elec Rates'!AD31-'CS Rates'!AD31)</f>
        <v>0</v>
      </c>
      <c r="AE31" s="12">
        <f>kWh!AE31*('Elec Rates'!AE31-'CS Rates'!AE31)</f>
        <v>0</v>
      </c>
      <c r="AF31" s="12">
        <f>kWh!AF31*('Elec Rates'!AF31-'CS Rates'!AF31)</f>
        <v>0</v>
      </c>
      <c r="AG31" s="12">
        <f>kWh!AG31*('Elec Rates'!AG31-'CS Rates'!AG31)</f>
        <v>0</v>
      </c>
      <c r="AH31" s="12">
        <f>kWh!AH31*('Elec Rates'!AH31-'CS Rates'!AH31)</f>
        <v>0</v>
      </c>
      <c r="AI31" s="12">
        <f>kWh!AI31*('Elec Rates'!AI31-'CS Rates'!AI31)</f>
        <v>0</v>
      </c>
      <c r="AJ31" s="12">
        <f>kWh!AJ31*('Elec Rates'!AJ31-'CS Rates'!AJ31)</f>
        <v>0</v>
      </c>
      <c r="AK31" s="12">
        <f>kWh!AK31*('Elec Rates'!AK31-'CS Rates'!AK31)</f>
        <v>0</v>
      </c>
      <c r="AL31" s="12">
        <f>kWh!AL31*('Elec Rates'!AL31-'CS Rates'!AL31)</f>
        <v>0</v>
      </c>
      <c r="AM31" s="12">
        <f>kWh!AM31*('Elec Rates'!AM31-'CS Rates'!AM31)</f>
        <v>0</v>
      </c>
      <c r="AN31" s="12">
        <f>kWh!AN31*('Elec Rates'!AN31-'CS Rates'!AN31)</f>
        <v>0</v>
      </c>
      <c r="AO31" s="12">
        <f>kWh!AO31*('Elec Rates'!AO31-'CS Rates'!AO31)</f>
        <v>0</v>
      </c>
      <c r="AP31" s="12">
        <f>kWh!AP31*('Elec Rates'!AP31-'CS Rates'!AP31)</f>
        <v>0</v>
      </c>
      <c r="AQ31" s="12">
        <f t="shared" si="0"/>
        <v>5653.8651000000009</v>
      </c>
    </row>
    <row r="32" spans="1:47" x14ac:dyDescent="0.3">
      <c r="A32" s="4">
        <v>45170</v>
      </c>
      <c r="B32" s="12">
        <f>kWh!B32*('Elec Rates'!B32-'CS Rates'!B32)</f>
        <v>909.30210000000011</v>
      </c>
      <c r="C32" s="12">
        <f>kWh!C32*('Elec Rates'!C32-'CS Rates'!C32)</f>
        <v>400.03370000000001</v>
      </c>
      <c r="D32" s="12">
        <f>kWh!D32*('Elec Rates'!D32-'CS Rates'!D32)</f>
        <v>984.68619999999999</v>
      </c>
      <c r="E32" s="12">
        <f>kWh!E32*('Elec Rates'!E32-'CS Rates'!E32)</f>
        <v>1101.7761</v>
      </c>
      <c r="F32" s="12">
        <f>kWh!F32*('Elec Rates'!F32-'CS Rates'!F32)</f>
        <v>534.40860000000009</v>
      </c>
      <c r="G32" s="12">
        <f>kWh!G32*('Elec Rates'!G32-'CS Rates'!G32)</f>
        <v>272.83500000000004</v>
      </c>
      <c r="H32" s="12">
        <f>kWh!H32*('Elec Rates'!H32-'CS Rates'!H32)</f>
        <v>807.93130000000008</v>
      </c>
      <c r="I32" s="12">
        <f>kWh!I32*('Elec Rates'!I32-'CS Rates'!I32)</f>
        <v>0</v>
      </c>
      <c r="J32" s="12">
        <f>kWh!J32*('Elec Rates'!J32-'CS Rates'!J32)</f>
        <v>0</v>
      </c>
      <c r="K32" s="12">
        <f>kWh!K32*('Elec Rates'!K32-'CS Rates'!K32)</f>
        <v>0</v>
      </c>
      <c r="L32" s="12">
        <f>kWh!L32*('Elec Rates'!L32-'CS Rates'!L32)</f>
        <v>0</v>
      </c>
      <c r="M32" s="12">
        <f>kWh!M32*('Elec Rates'!M32-'CS Rates'!M32)</f>
        <v>0</v>
      </c>
      <c r="N32" s="12">
        <f>kWh!N32*('Elec Rates'!N32-'CS Rates'!N32)</f>
        <v>0</v>
      </c>
      <c r="O32" s="12">
        <f>kWh!O32*('Elec Rates'!O32-'CS Rates'!O32)</f>
        <v>0</v>
      </c>
      <c r="P32" s="12">
        <f>kWh!P32*('Elec Rates'!P32-'CS Rates'!P32)</f>
        <v>0</v>
      </c>
      <c r="Q32" s="12">
        <f>kWh!Q32*('Elec Rates'!Q32-'CS Rates'!Q32)</f>
        <v>0</v>
      </c>
      <c r="R32" s="12">
        <f>kWh!R32*('Elec Rates'!R32-'CS Rates'!R32)</f>
        <v>0</v>
      </c>
      <c r="S32" s="12">
        <f>kWh!S32*('Elec Rates'!S32-'CS Rates'!S32)</f>
        <v>0</v>
      </c>
      <c r="T32" s="12">
        <f>kWh!T32*('Elec Rates'!T32-'CS Rates'!T32)</f>
        <v>0</v>
      </c>
      <c r="U32" s="12">
        <f>kWh!U32*('Elec Rates'!U32-'CS Rates'!U32)</f>
        <v>0</v>
      </c>
      <c r="V32" s="12">
        <f>kWh!V32*('Elec Rates'!V32-'CS Rates'!V32)</f>
        <v>0</v>
      </c>
      <c r="W32" s="12">
        <f>kWh!W32*('Elec Rates'!W32-'CS Rates'!W32)</f>
        <v>0</v>
      </c>
      <c r="X32" s="12">
        <f>kWh!X32*('Elec Rates'!X32-'CS Rates'!X32)</f>
        <v>0</v>
      </c>
      <c r="Y32" s="12">
        <f>kWh!Y32*('Elec Rates'!Y32-'CS Rates'!Y32)</f>
        <v>0</v>
      </c>
      <c r="Z32" s="12">
        <f>kWh!Z32*('Elec Rates'!Z32-'CS Rates'!Z32)</f>
        <v>0</v>
      </c>
      <c r="AA32" s="12">
        <f>kWh!AA32*('Elec Rates'!AA32-'CS Rates'!AA32)</f>
        <v>0</v>
      </c>
      <c r="AB32" s="12">
        <f>kWh!AB32*('Elec Rates'!AB32-'CS Rates'!AB32)</f>
        <v>0</v>
      </c>
      <c r="AC32" s="12">
        <f>kWh!AC32*('Elec Rates'!AC32-'CS Rates'!AC32)</f>
        <v>0</v>
      </c>
      <c r="AD32" s="12">
        <f>kWh!AD32*('Elec Rates'!AD32-'CS Rates'!AD32)</f>
        <v>0</v>
      </c>
      <c r="AE32" s="12">
        <f>kWh!AE32*('Elec Rates'!AE32-'CS Rates'!AE32)</f>
        <v>0</v>
      </c>
      <c r="AF32" s="12">
        <f>kWh!AF32*('Elec Rates'!AF32-'CS Rates'!AF32)</f>
        <v>0</v>
      </c>
      <c r="AG32" s="12">
        <f>kWh!AG32*('Elec Rates'!AG32-'CS Rates'!AG32)</f>
        <v>0</v>
      </c>
      <c r="AH32" s="12">
        <f>kWh!AH32*('Elec Rates'!AH32-'CS Rates'!AH32)</f>
        <v>0</v>
      </c>
      <c r="AI32" s="12">
        <f>kWh!AI32*('Elec Rates'!AI32-'CS Rates'!AI32)</f>
        <v>0</v>
      </c>
      <c r="AJ32" s="12">
        <f>kWh!AJ32*('Elec Rates'!AJ32-'CS Rates'!AJ32)</f>
        <v>0</v>
      </c>
      <c r="AK32" s="12">
        <f>kWh!AK32*('Elec Rates'!AK32-'CS Rates'!AK32)</f>
        <v>0</v>
      </c>
      <c r="AL32" s="12">
        <f>kWh!AL32*('Elec Rates'!AL32-'CS Rates'!AL32)</f>
        <v>0</v>
      </c>
      <c r="AM32" s="12">
        <f>kWh!AM32*('Elec Rates'!AM32-'CS Rates'!AM32)</f>
        <v>0</v>
      </c>
      <c r="AN32" s="12">
        <f>kWh!AN32*('Elec Rates'!AN32-'CS Rates'!AN32)</f>
        <v>0</v>
      </c>
      <c r="AO32" s="12">
        <f>kWh!AO32*('Elec Rates'!AO32-'CS Rates'!AO32)</f>
        <v>0</v>
      </c>
      <c r="AP32" s="12">
        <f>kWh!AP32*('Elec Rates'!AP32-'CS Rates'!AP32)</f>
        <v>0</v>
      </c>
      <c r="AQ32" s="12">
        <f t="shared" si="0"/>
        <v>5010.973</v>
      </c>
    </row>
    <row r="33" spans="1:43" x14ac:dyDescent="0.3">
      <c r="A33" s="4">
        <v>45200</v>
      </c>
      <c r="B33" s="12">
        <f>kWh!B33*('Elec Rates'!B33-'CS Rates'!B33)</f>
        <v>293.03119999999996</v>
      </c>
      <c r="C33" s="12">
        <f>kWh!C33*('Elec Rates'!C33-'CS Rates'!C33)</f>
        <v>291.26339999999999</v>
      </c>
      <c r="D33" s="12">
        <f>kWh!D33*('Elec Rates'!D33-'CS Rates'!D33)</f>
        <v>317.59019999999998</v>
      </c>
      <c r="E33" s="12">
        <f>kWh!E33*('Elec Rates'!E33-'CS Rates'!E33)</f>
        <v>356.11290000000008</v>
      </c>
      <c r="F33" s="12">
        <f>kWh!F33*('Elec Rates'!F33-'CS Rates'!F33)</f>
        <v>453.72800000000007</v>
      </c>
      <c r="G33" s="12">
        <f>kWh!G33*('Elec Rates'!G33-'CS Rates'!G33)</f>
        <v>84.771200000000022</v>
      </c>
      <c r="H33" s="12">
        <f>kWh!H33*('Elec Rates'!H33-'CS Rates'!H33)</f>
        <v>811.31490000000019</v>
      </c>
      <c r="I33" s="12">
        <f>kWh!I33*('Elec Rates'!I33-'CS Rates'!I33)</f>
        <v>0</v>
      </c>
      <c r="J33" s="12">
        <f>kWh!J33*('Elec Rates'!J33-'CS Rates'!J33)</f>
        <v>0</v>
      </c>
      <c r="K33" s="12">
        <f>kWh!K33*('Elec Rates'!K33-'CS Rates'!K33)</f>
        <v>0</v>
      </c>
      <c r="L33" s="12">
        <f>kWh!L33*('Elec Rates'!L33-'CS Rates'!L33)</f>
        <v>0</v>
      </c>
      <c r="M33" s="12">
        <f>kWh!M33*('Elec Rates'!M33-'CS Rates'!M33)</f>
        <v>0</v>
      </c>
      <c r="N33" s="12">
        <f>kWh!N33*('Elec Rates'!N33-'CS Rates'!N33)</f>
        <v>0</v>
      </c>
      <c r="O33" s="12">
        <f>kWh!O33*('Elec Rates'!O33-'CS Rates'!O33)</f>
        <v>0</v>
      </c>
      <c r="P33" s="12">
        <f>kWh!P33*('Elec Rates'!P33-'CS Rates'!P33)</f>
        <v>0</v>
      </c>
      <c r="Q33" s="12">
        <f>kWh!Q33*('Elec Rates'!Q33-'CS Rates'!Q33)</f>
        <v>0</v>
      </c>
      <c r="R33" s="12">
        <f>kWh!R33*('Elec Rates'!R33-'CS Rates'!R33)</f>
        <v>0</v>
      </c>
      <c r="S33" s="12">
        <f>kWh!S33*('Elec Rates'!S33-'CS Rates'!S33)</f>
        <v>0</v>
      </c>
      <c r="T33" s="12">
        <f>kWh!T33*('Elec Rates'!T33-'CS Rates'!T33)</f>
        <v>0</v>
      </c>
      <c r="U33" s="12">
        <f>kWh!U33*('Elec Rates'!U33-'CS Rates'!U33)</f>
        <v>0</v>
      </c>
      <c r="V33" s="12">
        <f>kWh!V33*('Elec Rates'!V33-'CS Rates'!V33)</f>
        <v>0</v>
      </c>
      <c r="W33" s="12">
        <f>kWh!W33*('Elec Rates'!W33-'CS Rates'!W33)</f>
        <v>0</v>
      </c>
      <c r="X33" s="12">
        <f>kWh!X33*('Elec Rates'!X33-'CS Rates'!X33)</f>
        <v>0</v>
      </c>
      <c r="Y33" s="12">
        <f>kWh!Y33*('Elec Rates'!Y33-'CS Rates'!Y33)</f>
        <v>0</v>
      </c>
      <c r="Z33" s="12">
        <f>kWh!Z33*('Elec Rates'!Z33-'CS Rates'!Z33)</f>
        <v>0</v>
      </c>
      <c r="AA33" s="12">
        <f>kWh!AA33*('Elec Rates'!AA33-'CS Rates'!AA33)</f>
        <v>0</v>
      </c>
      <c r="AB33" s="12">
        <f>kWh!AB33*('Elec Rates'!AB33-'CS Rates'!AB33)</f>
        <v>0</v>
      </c>
      <c r="AC33" s="12">
        <f>kWh!AC33*('Elec Rates'!AC33-'CS Rates'!AC33)</f>
        <v>0</v>
      </c>
      <c r="AD33" s="12">
        <f>kWh!AD33*('Elec Rates'!AD33-'CS Rates'!AD33)</f>
        <v>0</v>
      </c>
      <c r="AE33" s="12">
        <f>kWh!AE33*('Elec Rates'!AE33-'CS Rates'!AE33)</f>
        <v>0</v>
      </c>
      <c r="AF33" s="12">
        <f>kWh!AF33*('Elec Rates'!AF33-'CS Rates'!AF33)</f>
        <v>0</v>
      </c>
      <c r="AG33" s="12">
        <f>kWh!AG33*('Elec Rates'!AG33-'CS Rates'!AG33)</f>
        <v>0</v>
      </c>
      <c r="AH33" s="12">
        <f>kWh!AH33*('Elec Rates'!AH33-'CS Rates'!AH33)</f>
        <v>0</v>
      </c>
      <c r="AI33" s="12">
        <f>kWh!AI33*('Elec Rates'!AI33-'CS Rates'!AI33)</f>
        <v>0</v>
      </c>
      <c r="AJ33" s="12">
        <f>kWh!AJ33*('Elec Rates'!AJ33-'CS Rates'!AJ33)</f>
        <v>0</v>
      </c>
      <c r="AK33" s="12">
        <f>kWh!AK33*('Elec Rates'!AK33-'CS Rates'!AK33)</f>
        <v>0</v>
      </c>
      <c r="AL33" s="12">
        <f>kWh!AL33*('Elec Rates'!AL33-'CS Rates'!AL33)</f>
        <v>0</v>
      </c>
      <c r="AM33" s="12">
        <f>kWh!AM33*('Elec Rates'!AM33-'CS Rates'!AM33)</f>
        <v>0</v>
      </c>
      <c r="AN33" s="12">
        <f>kWh!AN33*('Elec Rates'!AN33-'CS Rates'!AN33)</f>
        <v>0</v>
      </c>
      <c r="AO33" s="12">
        <f>kWh!AO33*('Elec Rates'!AO33-'CS Rates'!AO33)</f>
        <v>0</v>
      </c>
      <c r="AP33" s="12">
        <f>kWh!AP33*('Elec Rates'!AP33-'CS Rates'!AP33)</f>
        <v>0</v>
      </c>
      <c r="AQ33" s="12">
        <f t="shared" si="0"/>
        <v>2607.8118000000004</v>
      </c>
    </row>
    <row r="34" spans="1:43" x14ac:dyDescent="0.3">
      <c r="A34" s="4">
        <v>45231</v>
      </c>
      <c r="B34" s="12">
        <f>kWh!B34*('Elec Rates'!B34-'CS Rates'!B34)</f>
        <v>194.12270000000004</v>
      </c>
      <c r="C34" s="12">
        <f>kWh!C34*('Elec Rates'!C34-'CS Rates'!C34)</f>
        <v>182.54320000000004</v>
      </c>
      <c r="D34" s="12">
        <f>kWh!D34*('Elec Rates'!D34-'CS Rates'!D34)</f>
        <v>256.68579999999997</v>
      </c>
      <c r="E34" s="12">
        <f>kWh!E34*('Elec Rates'!E34-'CS Rates'!E34)</f>
        <v>308.23230000000001</v>
      </c>
      <c r="F34" s="12">
        <f>kWh!F34*('Elec Rates'!F34-'CS Rates'!F34)</f>
        <v>341.45610000000005</v>
      </c>
      <c r="G34" s="12">
        <f>kWh!G34*('Elec Rates'!G34-'CS Rates'!G34)</f>
        <v>60.617700000000013</v>
      </c>
      <c r="H34" s="12">
        <f>kWh!H34*('Elec Rates'!H34-'CS Rates'!H34)</f>
        <v>545.29620000000011</v>
      </c>
      <c r="I34" s="12">
        <f>kWh!I34*('Elec Rates'!I34-'CS Rates'!I34)</f>
        <v>0</v>
      </c>
      <c r="J34" s="12">
        <f>kWh!J34*('Elec Rates'!J34-'CS Rates'!J34)</f>
        <v>0</v>
      </c>
      <c r="K34" s="12">
        <f>kWh!K34*('Elec Rates'!K34-'CS Rates'!K34)</f>
        <v>0</v>
      </c>
      <c r="L34" s="12">
        <f>kWh!L34*('Elec Rates'!L34-'CS Rates'!L34)</f>
        <v>0</v>
      </c>
      <c r="M34" s="12">
        <f>kWh!M34*('Elec Rates'!M34-'CS Rates'!M34)</f>
        <v>0</v>
      </c>
      <c r="N34" s="12">
        <f>kWh!N34*('Elec Rates'!N34-'CS Rates'!N34)</f>
        <v>0</v>
      </c>
      <c r="O34" s="12">
        <f>kWh!O34*('Elec Rates'!O34-'CS Rates'!O34)</f>
        <v>0</v>
      </c>
      <c r="P34" s="12">
        <f>kWh!P34*('Elec Rates'!P34-'CS Rates'!P34)</f>
        <v>0</v>
      </c>
      <c r="Q34" s="12">
        <f>kWh!Q34*('Elec Rates'!Q34-'CS Rates'!Q34)</f>
        <v>0</v>
      </c>
      <c r="R34" s="12">
        <f>kWh!R34*('Elec Rates'!R34-'CS Rates'!R34)</f>
        <v>0</v>
      </c>
      <c r="S34" s="12">
        <f>kWh!S34*('Elec Rates'!S34-'CS Rates'!S34)</f>
        <v>0</v>
      </c>
      <c r="T34" s="12">
        <f>kWh!T34*('Elec Rates'!T34-'CS Rates'!T34)</f>
        <v>0</v>
      </c>
      <c r="U34" s="12">
        <f>kWh!U34*('Elec Rates'!U34-'CS Rates'!U34)</f>
        <v>0</v>
      </c>
      <c r="V34" s="12">
        <f>kWh!V34*('Elec Rates'!V34-'CS Rates'!V34)</f>
        <v>0</v>
      </c>
      <c r="W34" s="12">
        <f>kWh!W34*('Elec Rates'!W34-'CS Rates'!W34)</f>
        <v>0</v>
      </c>
      <c r="X34" s="12">
        <f>kWh!X34*('Elec Rates'!X34-'CS Rates'!X34)</f>
        <v>0</v>
      </c>
      <c r="Y34" s="12">
        <f>kWh!Y34*('Elec Rates'!Y34-'CS Rates'!Y34)</f>
        <v>0</v>
      </c>
      <c r="Z34" s="12">
        <f>kWh!Z34*('Elec Rates'!Z34-'CS Rates'!Z34)</f>
        <v>0</v>
      </c>
      <c r="AA34" s="12">
        <f>kWh!AA34*('Elec Rates'!AA34-'CS Rates'!AA34)</f>
        <v>0</v>
      </c>
      <c r="AB34" s="12">
        <f>kWh!AB34*('Elec Rates'!AB34-'CS Rates'!AB34)</f>
        <v>0</v>
      </c>
      <c r="AC34" s="12">
        <f>kWh!AC34*('Elec Rates'!AC34-'CS Rates'!AC34)</f>
        <v>0</v>
      </c>
      <c r="AD34" s="12">
        <f>kWh!AD34*('Elec Rates'!AD34-'CS Rates'!AD34)</f>
        <v>0</v>
      </c>
      <c r="AE34" s="12">
        <f>kWh!AE34*('Elec Rates'!AE34-'CS Rates'!AE34)</f>
        <v>0</v>
      </c>
      <c r="AF34" s="12">
        <f>kWh!AF34*('Elec Rates'!AF34-'CS Rates'!AF34)</f>
        <v>0</v>
      </c>
      <c r="AG34" s="12">
        <f>kWh!AG34*('Elec Rates'!AG34-'CS Rates'!AG34)</f>
        <v>0</v>
      </c>
      <c r="AH34" s="12">
        <f>kWh!AH34*('Elec Rates'!AH34-'CS Rates'!AH34)</f>
        <v>0</v>
      </c>
      <c r="AI34" s="12">
        <f>kWh!AI34*('Elec Rates'!AI34-'CS Rates'!AI34)</f>
        <v>0</v>
      </c>
      <c r="AJ34" s="12">
        <f>kWh!AJ34*('Elec Rates'!AJ34-'CS Rates'!AJ34)</f>
        <v>0</v>
      </c>
      <c r="AK34" s="12">
        <f>kWh!AK34*('Elec Rates'!AK34-'CS Rates'!AK34)</f>
        <v>0</v>
      </c>
      <c r="AL34" s="12">
        <f>kWh!AL34*('Elec Rates'!AL34-'CS Rates'!AL34)</f>
        <v>0</v>
      </c>
      <c r="AM34" s="12">
        <f>kWh!AM34*('Elec Rates'!AM34-'CS Rates'!AM34)</f>
        <v>0</v>
      </c>
      <c r="AN34" s="12">
        <f>kWh!AN34*('Elec Rates'!AN34-'CS Rates'!AN34)</f>
        <v>0</v>
      </c>
      <c r="AO34" s="12">
        <f>kWh!AO34*('Elec Rates'!AO34-'CS Rates'!AO34)</f>
        <v>0</v>
      </c>
      <c r="AP34" s="12">
        <f>kWh!AP34*('Elec Rates'!AP34-'CS Rates'!AP34)</f>
        <v>0</v>
      </c>
      <c r="AQ34" s="12">
        <f t="shared" si="0"/>
        <v>1888.9540000000002</v>
      </c>
    </row>
    <row r="35" spans="1:43" x14ac:dyDescent="0.3">
      <c r="A35" s="4">
        <v>45261</v>
      </c>
      <c r="B35" s="12">
        <f>kWh!B35*('Elec Rates'!B35-'CS Rates'!B35)</f>
        <v>129.53190000000001</v>
      </c>
      <c r="C35" s="12">
        <f>kWh!C35*('Elec Rates'!C35-'CS Rates'!C35)</f>
        <v>174.78720000000004</v>
      </c>
      <c r="D35" s="12">
        <f>kWh!D35*('Elec Rates'!D35-'CS Rates'!D35)</f>
        <v>235.64760000000001</v>
      </c>
      <c r="E35" s="12">
        <f>kWh!E35*('Elec Rates'!E35-'CS Rates'!E35)</f>
        <v>260.91340000000002</v>
      </c>
      <c r="F35" s="12">
        <f>kWh!F35*('Elec Rates'!F35-'CS Rates'!F35)</f>
        <v>258.67259999999999</v>
      </c>
      <c r="G35" s="12">
        <f>kWh!G35*('Elec Rates'!G35-'CS Rates'!G35)</f>
        <v>54.116099999999996</v>
      </c>
      <c r="H35" s="12">
        <f>kWh!H35*('Elec Rates'!H35-'CS Rates'!H35)</f>
        <v>416.80889999999999</v>
      </c>
      <c r="I35" s="12">
        <f>kWh!I35*('Elec Rates'!I35-'CS Rates'!I35)</f>
        <v>0</v>
      </c>
      <c r="J35" s="12">
        <f>kWh!J35*('Elec Rates'!J35-'CS Rates'!J35)</f>
        <v>0</v>
      </c>
      <c r="K35" s="12">
        <f>kWh!K35*('Elec Rates'!K35-'CS Rates'!K35)</f>
        <v>0</v>
      </c>
      <c r="L35" s="12">
        <f>kWh!L35*('Elec Rates'!L35-'CS Rates'!L35)</f>
        <v>0</v>
      </c>
      <c r="M35" s="12">
        <f>kWh!M35*('Elec Rates'!M35-'CS Rates'!M35)</f>
        <v>0</v>
      </c>
      <c r="N35" s="12">
        <f>kWh!N35*('Elec Rates'!N35-'CS Rates'!N35)</f>
        <v>0</v>
      </c>
      <c r="O35" s="12">
        <f>kWh!O35*('Elec Rates'!O35-'CS Rates'!O35)</f>
        <v>0</v>
      </c>
      <c r="P35" s="12">
        <f>kWh!P35*('Elec Rates'!P35-'CS Rates'!P35)</f>
        <v>0</v>
      </c>
      <c r="Q35" s="12">
        <f>kWh!Q35*('Elec Rates'!Q35-'CS Rates'!Q35)</f>
        <v>0</v>
      </c>
      <c r="R35" s="12">
        <f>kWh!R35*('Elec Rates'!R35-'CS Rates'!R35)</f>
        <v>0</v>
      </c>
      <c r="S35" s="12">
        <f>kWh!S35*('Elec Rates'!S35-'CS Rates'!S35)</f>
        <v>0</v>
      </c>
      <c r="T35" s="12">
        <f>kWh!T35*('Elec Rates'!T35-'CS Rates'!T35)</f>
        <v>0</v>
      </c>
      <c r="U35" s="12">
        <f>kWh!U35*('Elec Rates'!U35-'CS Rates'!U35)</f>
        <v>0</v>
      </c>
      <c r="V35" s="12">
        <f>kWh!V35*('Elec Rates'!V35-'CS Rates'!V35)</f>
        <v>0</v>
      </c>
      <c r="W35" s="12">
        <f>kWh!W35*('Elec Rates'!W35-'CS Rates'!W35)</f>
        <v>0</v>
      </c>
      <c r="X35" s="12">
        <f>kWh!X35*('Elec Rates'!X35-'CS Rates'!X35)</f>
        <v>0</v>
      </c>
      <c r="Y35" s="12">
        <f>kWh!Y35*('Elec Rates'!Y35-'CS Rates'!Y35)</f>
        <v>0</v>
      </c>
      <c r="Z35" s="12">
        <f>kWh!Z35*('Elec Rates'!Z35-'CS Rates'!Z35)</f>
        <v>0</v>
      </c>
      <c r="AA35" s="12">
        <f>kWh!AA35*('Elec Rates'!AA35-'CS Rates'!AA35)</f>
        <v>0</v>
      </c>
      <c r="AB35" s="12">
        <f>kWh!AB35*('Elec Rates'!AB35-'CS Rates'!AB35)</f>
        <v>0</v>
      </c>
      <c r="AC35" s="12">
        <f>kWh!AC35*('Elec Rates'!AC35-'CS Rates'!AC35)</f>
        <v>0</v>
      </c>
      <c r="AD35" s="12">
        <f>kWh!AD35*('Elec Rates'!AD35-'CS Rates'!AD35)</f>
        <v>0</v>
      </c>
      <c r="AE35" s="12">
        <f>kWh!AE35*('Elec Rates'!AE35-'CS Rates'!AE35)</f>
        <v>0</v>
      </c>
      <c r="AF35" s="12">
        <f>kWh!AF35*('Elec Rates'!AF35-'CS Rates'!AF35)</f>
        <v>0</v>
      </c>
      <c r="AG35" s="12">
        <f>kWh!AG35*('Elec Rates'!AG35-'CS Rates'!AG35)</f>
        <v>0</v>
      </c>
      <c r="AH35" s="12">
        <f>kWh!AH35*('Elec Rates'!AH35-'CS Rates'!AH35)</f>
        <v>0</v>
      </c>
      <c r="AI35" s="12">
        <f>kWh!AI35*('Elec Rates'!AI35-'CS Rates'!AI35)</f>
        <v>0</v>
      </c>
      <c r="AJ35" s="12">
        <f>kWh!AJ35*('Elec Rates'!AJ35-'CS Rates'!AJ35)</f>
        <v>0</v>
      </c>
      <c r="AK35" s="12">
        <f>kWh!AK35*('Elec Rates'!AK35-'CS Rates'!AK35)</f>
        <v>0</v>
      </c>
      <c r="AL35" s="12">
        <f>kWh!AL35*('Elec Rates'!AL35-'CS Rates'!AL35)</f>
        <v>0</v>
      </c>
      <c r="AM35" s="12">
        <f>kWh!AM35*('Elec Rates'!AM35-'CS Rates'!AM35)</f>
        <v>0</v>
      </c>
      <c r="AN35" s="12">
        <f>kWh!AN35*('Elec Rates'!AN35-'CS Rates'!AN35)</f>
        <v>0</v>
      </c>
      <c r="AO35" s="12">
        <f>kWh!AO35*('Elec Rates'!AO35-'CS Rates'!AO35)</f>
        <v>0</v>
      </c>
      <c r="AP35" s="12">
        <f>kWh!AP35*('Elec Rates'!AP35-'CS Rates'!AP35)</f>
        <v>0</v>
      </c>
      <c r="AQ35" s="12">
        <f t="shared" si="0"/>
        <v>1530.4777000000001</v>
      </c>
    </row>
    <row r="36" spans="1:43" x14ac:dyDescent="0.3">
      <c r="A36" s="4">
        <v>45292</v>
      </c>
      <c r="B36" s="12">
        <f>kWh!B36*('Elec Rates'!B36-'CS Rates'!B36)</f>
        <v>131.67959999999999</v>
      </c>
      <c r="C36" s="12">
        <f>kWh!C36*('Elec Rates'!C36-'CS Rates'!C36)</f>
        <v>220.21349999999998</v>
      </c>
      <c r="D36" s="12">
        <f>kWh!D36*('Elec Rates'!D36-'CS Rates'!D36)</f>
        <v>302.08290000000005</v>
      </c>
      <c r="E36" s="12">
        <f>kWh!E36*('Elec Rates'!E36-'CS Rates'!E36)</f>
        <v>240.65560000000002</v>
      </c>
      <c r="F36" s="12">
        <f>kWh!F36*('Elec Rates'!F36-'CS Rates'!F36)</f>
        <v>210.89760000000001</v>
      </c>
      <c r="G36" s="12">
        <f>kWh!G36*('Elec Rates'!G36-'CS Rates'!G36)</f>
        <v>61.468100000000014</v>
      </c>
      <c r="H36" s="12">
        <f>kWh!H36*('Elec Rates'!H36-'CS Rates'!H36)</f>
        <v>564.05580000000009</v>
      </c>
      <c r="I36" s="12">
        <f>kWh!I36*('Elec Rates'!I36-'CS Rates'!I36)</f>
        <v>0</v>
      </c>
      <c r="J36" s="12">
        <f>kWh!J36*('Elec Rates'!J36-'CS Rates'!J36)</f>
        <v>0</v>
      </c>
      <c r="K36" s="12">
        <f>kWh!K36*('Elec Rates'!K36-'CS Rates'!K36)</f>
        <v>0</v>
      </c>
      <c r="L36" s="12">
        <f>kWh!L36*('Elec Rates'!L36-'CS Rates'!L36)</f>
        <v>0</v>
      </c>
      <c r="M36" s="12">
        <f>kWh!M36*('Elec Rates'!M36-'CS Rates'!M36)</f>
        <v>0</v>
      </c>
      <c r="N36" s="12">
        <f>kWh!N36*('Elec Rates'!N36-'CS Rates'!N36)</f>
        <v>0</v>
      </c>
      <c r="O36" s="12">
        <f>kWh!O36*('Elec Rates'!O36-'CS Rates'!O36)</f>
        <v>0</v>
      </c>
      <c r="P36" s="12">
        <f>kWh!P36*('Elec Rates'!P36-'CS Rates'!P36)</f>
        <v>0</v>
      </c>
      <c r="Q36" s="12">
        <f>kWh!Q36*('Elec Rates'!Q36-'CS Rates'!Q36)</f>
        <v>0</v>
      </c>
      <c r="R36" s="12">
        <f>kWh!R36*('Elec Rates'!R36-'CS Rates'!R36)</f>
        <v>0</v>
      </c>
      <c r="S36" s="12">
        <f>kWh!S36*('Elec Rates'!S36-'CS Rates'!S36)</f>
        <v>0</v>
      </c>
      <c r="T36" s="12">
        <f>kWh!T36*('Elec Rates'!T36-'CS Rates'!T36)</f>
        <v>0</v>
      </c>
      <c r="U36" s="12">
        <f>kWh!U36*('Elec Rates'!U36-'CS Rates'!U36)</f>
        <v>0</v>
      </c>
      <c r="V36" s="12">
        <f>kWh!V36*('Elec Rates'!V36-'CS Rates'!V36)</f>
        <v>0</v>
      </c>
      <c r="W36" s="12">
        <f>kWh!W36*('Elec Rates'!W36-'CS Rates'!W36)</f>
        <v>0</v>
      </c>
      <c r="X36" s="12">
        <f>kWh!X36*('Elec Rates'!X36-'CS Rates'!X36)</f>
        <v>0</v>
      </c>
      <c r="Y36" s="12">
        <f>kWh!Y36*('Elec Rates'!Y36-'CS Rates'!Y36)</f>
        <v>0</v>
      </c>
      <c r="Z36" s="12">
        <f>kWh!Z36*('Elec Rates'!Z36-'CS Rates'!Z36)</f>
        <v>0</v>
      </c>
      <c r="AA36" s="12">
        <f>kWh!AA36*('Elec Rates'!AA36-'CS Rates'!AA36)</f>
        <v>0</v>
      </c>
      <c r="AB36" s="12">
        <f>kWh!AB36*('Elec Rates'!AB36-'CS Rates'!AB36)</f>
        <v>0</v>
      </c>
      <c r="AC36" s="12">
        <f>kWh!AC36*('Elec Rates'!AC36-'CS Rates'!AC36)</f>
        <v>0</v>
      </c>
      <c r="AD36" s="12">
        <f>kWh!AD36*('Elec Rates'!AD36-'CS Rates'!AD36)</f>
        <v>0</v>
      </c>
      <c r="AE36" s="12">
        <f>kWh!AE36*('Elec Rates'!AE36-'CS Rates'!AE36)</f>
        <v>0</v>
      </c>
      <c r="AF36" s="12">
        <f>kWh!AF36*('Elec Rates'!AF36-'CS Rates'!AF36)</f>
        <v>0</v>
      </c>
      <c r="AG36" s="12">
        <f>kWh!AG36*('Elec Rates'!AG36-'CS Rates'!AG36)</f>
        <v>0</v>
      </c>
      <c r="AH36" s="12">
        <f>kWh!AH36*('Elec Rates'!AH36-'CS Rates'!AH36)</f>
        <v>0</v>
      </c>
      <c r="AI36" s="12">
        <f>kWh!AI36*('Elec Rates'!AI36-'CS Rates'!AI36)</f>
        <v>0</v>
      </c>
      <c r="AJ36" s="12">
        <f>kWh!AJ36*('Elec Rates'!AJ36-'CS Rates'!AJ36)</f>
        <v>0</v>
      </c>
      <c r="AK36" s="12">
        <f>kWh!AK36*('Elec Rates'!AK36-'CS Rates'!AK36)</f>
        <v>0</v>
      </c>
      <c r="AL36" s="12">
        <f>kWh!AL36*('Elec Rates'!AL36-'CS Rates'!AL36)</f>
        <v>0</v>
      </c>
      <c r="AM36" s="12">
        <f>kWh!AM36*('Elec Rates'!AM36-'CS Rates'!AM36)</f>
        <v>0</v>
      </c>
      <c r="AN36" s="12">
        <f>kWh!AN36*('Elec Rates'!AN36-'CS Rates'!AN36)</f>
        <v>0</v>
      </c>
      <c r="AO36" s="12">
        <f>kWh!AO36*('Elec Rates'!AO36-'CS Rates'!AO36)</f>
        <v>0</v>
      </c>
      <c r="AP36" s="12">
        <f>kWh!AP36*('Elec Rates'!AP36-'CS Rates'!AP36)</f>
        <v>0</v>
      </c>
      <c r="AQ36" s="12">
        <f t="shared" si="0"/>
        <v>1731.0531000000003</v>
      </c>
    </row>
    <row r="37" spans="1:43" x14ac:dyDescent="0.3">
      <c r="A37" s="4">
        <v>45323</v>
      </c>
      <c r="B37" s="12">
        <f>kWh!B37*('Elec Rates'!B37-'CS Rates'!B37)</f>
        <v>176.14660000000001</v>
      </c>
      <c r="C37" s="12">
        <f>kWh!C37*('Elec Rates'!C37-'CS Rates'!C37)</f>
        <v>249.05399999999997</v>
      </c>
      <c r="D37" s="12">
        <f>kWh!D37*('Elec Rates'!D37-'CS Rates'!D37)</f>
        <v>335.11180000000002</v>
      </c>
      <c r="E37" s="12">
        <f>kWh!E37*('Elec Rates'!E37-'CS Rates'!E37)</f>
        <v>299.35620000000006</v>
      </c>
      <c r="F37" s="12">
        <f>kWh!F37*('Elec Rates'!F37-'CS Rates'!F37)</f>
        <v>360.53930000000003</v>
      </c>
      <c r="G37" s="12">
        <f>kWh!G37*('Elec Rates'!G37-'CS Rates'!G37)</f>
        <v>84.137900000000002</v>
      </c>
      <c r="H37" s="12">
        <f>kWh!H37*('Elec Rates'!H37-'CS Rates'!H37)</f>
        <v>626.41740000000004</v>
      </c>
      <c r="I37" s="12">
        <f>kWh!I37*('Elec Rates'!I37-'CS Rates'!I37)</f>
        <v>0</v>
      </c>
      <c r="J37" s="12">
        <f>kWh!J37*('Elec Rates'!J37-'CS Rates'!J37)</f>
        <v>0</v>
      </c>
      <c r="K37" s="12">
        <f>kWh!K37*('Elec Rates'!K37-'CS Rates'!K37)</f>
        <v>0</v>
      </c>
      <c r="L37" s="12">
        <f>kWh!L37*('Elec Rates'!L37-'CS Rates'!L37)</f>
        <v>0</v>
      </c>
      <c r="M37" s="12">
        <f>kWh!M37*('Elec Rates'!M37-'CS Rates'!M37)</f>
        <v>0</v>
      </c>
      <c r="N37" s="12">
        <f>kWh!N37*('Elec Rates'!N37-'CS Rates'!N37)</f>
        <v>0</v>
      </c>
      <c r="O37" s="12">
        <f>kWh!O37*('Elec Rates'!O37-'CS Rates'!O37)</f>
        <v>0</v>
      </c>
      <c r="P37" s="12">
        <f>kWh!P37*('Elec Rates'!P37-'CS Rates'!P37)</f>
        <v>0</v>
      </c>
      <c r="Q37" s="12">
        <f>kWh!Q37*('Elec Rates'!Q37-'CS Rates'!Q37)</f>
        <v>0</v>
      </c>
      <c r="R37" s="12">
        <f>kWh!R37*('Elec Rates'!R37-'CS Rates'!R37)</f>
        <v>0</v>
      </c>
      <c r="S37" s="12">
        <f>kWh!S37*('Elec Rates'!S37-'CS Rates'!S37)</f>
        <v>0</v>
      </c>
      <c r="T37" s="12">
        <f>kWh!T37*('Elec Rates'!T37-'CS Rates'!T37)</f>
        <v>0</v>
      </c>
      <c r="U37" s="12">
        <f>kWh!U37*('Elec Rates'!U37-'CS Rates'!U37)</f>
        <v>0</v>
      </c>
      <c r="V37" s="12">
        <f>kWh!V37*('Elec Rates'!V37-'CS Rates'!V37)</f>
        <v>0</v>
      </c>
      <c r="W37" s="12">
        <f>kWh!W37*('Elec Rates'!W37-'CS Rates'!W37)</f>
        <v>0</v>
      </c>
      <c r="X37" s="12">
        <f>kWh!X37*('Elec Rates'!X37-'CS Rates'!X37)</f>
        <v>0</v>
      </c>
      <c r="Y37" s="12">
        <f>kWh!Y37*('Elec Rates'!Y37-'CS Rates'!Y37)</f>
        <v>0</v>
      </c>
      <c r="Z37" s="12">
        <f>kWh!Z37*('Elec Rates'!Z37-'CS Rates'!Z37)</f>
        <v>0</v>
      </c>
      <c r="AA37" s="12">
        <f>kWh!AA37*('Elec Rates'!AA37-'CS Rates'!AA37)</f>
        <v>0</v>
      </c>
      <c r="AB37" s="12">
        <f>kWh!AB37*('Elec Rates'!AB37-'CS Rates'!AB37)</f>
        <v>0</v>
      </c>
      <c r="AC37" s="12">
        <f>kWh!AC37*('Elec Rates'!AC37-'CS Rates'!AC37)</f>
        <v>0</v>
      </c>
      <c r="AD37" s="12">
        <f>kWh!AD37*('Elec Rates'!AD37-'CS Rates'!AD37)</f>
        <v>0</v>
      </c>
      <c r="AE37" s="12">
        <f>kWh!AE37*('Elec Rates'!AE37-'CS Rates'!AE37)</f>
        <v>0</v>
      </c>
      <c r="AF37" s="12">
        <f>kWh!AF37*('Elec Rates'!AF37-'CS Rates'!AF37)</f>
        <v>0</v>
      </c>
      <c r="AG37" s="12">
        <f>kWh!AG37*('Elec Rates'!AG37-'CS Rates'!AG37)</f>
        <v>0</v>
      </c>
      <c r="AH37" s="12">
        <f>kWh!AH37*('Elec Rates'!AH37-'CS Rates'!AH37)</f>
        <v>0</v>
      </c>
      <c r="AI37" s="12">
        <f>kWh!AI37*('Elec Rates'!AI37-'CS Rates'!AI37)</f>
        <v>0</v>
      </c>
      <c r="AJ37" s="12">
        <f>kWh!AJ37*('Elec Rates'!AJ37-'CS Rates'!AJ37)</f>
        <v>0</v>
      </c>
      <c r="AK37" s="12">
        <f>kWh!AK37*('Elec Rates'!AK37-'CS Rates'!AK37)</f>
        <v>0</v>
      </c>
      <c r="AL37" s="12">
        <f>kWh!AL37*('Elec Rates'!AL37-'CS Rates'!AL37)</f>
        <v>0</v>
      </c>
      <c r="AM37" s="12">
        <f>kWh!AM37*('Elec Rates'!AM37-'CS Rates'!AM37)</f>
        <v>0</v>
      </c>
      <c r="AN37" s="12">
        <f>kWh!AN37*('Elec Rates'!AN37-'CS Rates'!AN37)</f>
        <v>0</v>
      </c>
      <c r="AO37" s="12">
        <f>kWh!AO37*('Elec Rates'!AO37-'CS Rates'!AO37)</f>
        <v>0</v>
      </c>
      <c r="AP37" s="12">
        <f>kWh!AP37*('Elec Rates'!AP37-'CS Rates'!AP37)</f>
        <v>0</v>
      </c>
      <c r="AQ37" s="12">
        <f t="shared" si="0"/>
        <v>2130.7631999999999</v>
      </c>
    </row>
    <row r="38" spans="1:43" x14ac:dyDescent="0.3">
      <c r="A38" s="4">
        <v>45352</v>
      </c>
      <c r="B38" s="12">
        <f>kWh!B38*('Elec Rates'!B38-'CS Rates'!B38)</f>
        <v>261.24470000000002</v>
      </c>
      <c r="C38" s="12">
        <f>kWh!C38*('Elec Rates'!C38-'CS Rates'!C38)</f>
        <v>437.39410000000009</v>
      </c>
      <c r="D38" s="12">
        <f>kWh!D38*('Elec Rates'!D38-'CS Rates'!D38)</f>
        <v>384.01920000000001</v>
      </c>
      <c r="E38" s="12">
        <f>kWh!E38*('Elec Rates'!E38-'CS Rates'!E38)</f>
        <v>403.60610000000008</v>
      </c>
      <c r="F38" s="12">
        <f>kWh!F38*('Elec Rates'!F38-'CS Rates'!F38)</f>
        <v>472.30470000000003</v>
      </c>
      <c r="G38" s="12">
        <f>kWh!G38*('Elec Rates'!G38-'CS Rates'!G38)</f>
        <v>107.4766</v>
      </c>
      <c r="H38" s="12">
        <f>kWh!H38*('Elec Rates'!H38-'CS Rates'!H38)</f>
        <v>831.65850000000012</v>
      </c>
      <c r="I38" s="12">
        <f>kWh!I38*('Elec Rates'!I38-'CS Rates'!I38)</f>
        <v>0</v>
      </c>
      <c r="J38" s="12">
        <f>kWh!J38*('Elec Rates'!J38-'CS Rates'!J38)</f>
        <v>0</v>
      </c>
      <c r="K38" s="12">
        <f>kWh!K38*('Elec Rates'!K38-'CS Rates'!K38)</f>
        <v>0</v>
      </c>
      <c r="L38" s="12">
        <f>kWh!L38*('Elec Rates'!L38-'CS Rates'!L38)</f>
        <v>0</v>
      </c>
      <c r="M38" s="12">
        <f>kWh!M38*('Elec Rates'!M38-'CS Rates'!M38)</f>
        <v>0</v>
      </c>
      <c r="N38" s="12">
        <f>kWh!N38*('Elec Rates'!N38-'CS Rates'!N38)</f>
        <v>0</v>
      </c>
      <c r="O38" s="12">
        <f>kWh!O38*('Elec Rates'!O38-'CS Rates'!O38)</f>
        <v>0</v>
      </c>
      <c r="P38" s="12">
        <f>kWh!P38*('Elec Rates'!P38-'CS Rates'!P38)</f>
        <v>0</v>
      </c>
      <c r="Q38" s="12">
        <f>kWh!Q38*('Elec Rates'!Q38-'CS Rates'!Q38)</f>
        <v>0</v>
      </c>
      <c r="R38" s="12">
        <f>kWh!R38*('Elec Rates'!R38-'CS Rates'!R38)</f>
        <v>0</v>
      </c>
      <c r="S38" s="12">
        <f>kWh!S38*('Elec Rates'!S38-'CS Rates'!S38)</f>
        <v>0</v>
      </c>
      <c r="T38" s="12">
        <f>kWh!T38*('Elec Rates'!T38-'CS Rates'!T38)</f>
        <v>0</v>
      </c>
      <c r="U38" s="12">
        <f>kWh!U38*('Elec Rates'!U38-'CS Rates'!U38)</f>
        <v>0</v>
      </c>
      <c r="V38" s="12">
        <f>kWh!V38*('Elec Rates'!V38-'CS Rates'!V38)</f>
        <v>0</v>
      </c>
      <c r="W38" s="12">
        <f>kWh!W38*('Elec Rates'!W38-'CS Rates'!W38)</f>
        <v>0</v>
      </c>
      <c r="X38" s="12">
        <f>kWh!X38*('Elec Rates'!X38-'CS Rates'!X38)</f>
        <v>0</v>
      </c>
      <c r="Y38" s="12">
        <f>kWh!Y38*('Elec Rates'!Y38-'CS Rates'!Y38)</f>
        <v>0</v>
      </c>
      <c r="Z38" s="12">
        <f>kWh!Z38*('Elec Rates'!Z38-'CS Rates'!Z38)</f>
        <v>0</v>
      </c>
      <c r="AA38" s="12">
        <f>kWh!AA38*('Elec Rates'!AA38-'CS Rates'!AA38)</f>
        <v>0</v>
      </c>
      <c r="AB38" s="12">
        <f>kWh!AB38*('Elec Rates'!AB38-'CS Rates'!AB38)</f>
        <v>0</v>
      </c>
      <c r="AC38" s="12">
        <f>kWh!AC38*('Elec Rates'!AC38-'CS Rates'!AC38)</f>
        <v>0</v>
      </c>
      <c r="AD38" s="12">
        <f>kWh!AD38*('Elec Rates'!AD38-'CS Rates'!AD38)</f>
        <v>0</v>
      </c>
      <c r="AE38" s="12">
        <f>kWh!AE38*('Elec Rates'!AE38-'CS Rates'!AE38)</f>
        <v>0</v>
      </c>
      <c r="AF38" s="12">
        <f>kWh!AF38*('Elec Rates'!AF38-'CS Rates'!AF38)</f>
        <v>0</v>
      </c>
      <c r="AG38" s="12">
        <f>kWh!AG38*('Elec Rates'!AG38-'CS Rates'!AG38)</f>
        <v>0</v>
      </c>
      <c r="AH38" s="12">
        <f>kWh!AH38*('Elec Rates'!AH38-'CS Rates'!AH38)</f>
        <v>0</v>
      </c>
      <c r="AI38" s="12">
        <f>kWh!AI38*('Elec Rates'!AI38-'CS Rates'!AI38)</f>
        <v>0</v>
      </c>
      <c r="AJ38" s="12">
        <f>kWh!AJ38*('Elec Rates'!AJ38-'CS Rates'!AJ38)</f>
        <v>0</v>
      </c>
      <c r="AK38" s="12">
        <f>kWh!AK38*('Elec Rates'!AK38-'CS Rates'!AK38)</f>
        <v>0</v>
      </c>
      <c r="AL38" s="12">
        <f>kWh!AL38*('Elec Rates'!AL38-'CS Rates'!AL38)</f>
        <v>0</v>
      </c>
      <c r="AM38" s="12">
        <f>kWh!AM38*('Elec Rates'!AM38-'CS Rates'!AM38)</f>
        <v>0</v>
      </c>
      <c r="AN38" s="12">
        <f>kWh!AN38*('Elec Rates'!AN38-'CS Rates'!AN38)</f>
        <v>0</v>
      </c>
      <c r="AO38" s="12">
        <f>kWh!AO38*('Elec Rates'!AO38-'CS Rates'!AO38)</f>
        <v>0</v>
      </c>
      <c r="AP38" s="12">
        <f>kWh!AP38*('Elec Rates'!AP38-'CS Rates'!AP38)</f>
        <v>0</v>
      </c>
      <c r="AQ38" s="12">
        <f t="shared" si="0"/>
        <v>2897.7039000000004</v>
      </c>
    </row>
    <row r="39" spans="1:43" x14ac:dyDescent="0.3">
      <c r="A39" s="4">
        <v>45383</v>
      </c>
      <c r="B39" s="12">
        <f>kWh!B39*('Elec Rates'!B39-'CS Rates'!B39)</f>
        <v>360.21699999999993</v>
      </c>
      <c r="C39" s="12">
        <f>kWh!C39*('Elec Rates'!C39-'CS Rates'!C39)</f>
        <v>470.34539999999998</v>
      </c>
      <c r="D39" s="12">
        <f>kWh!D39*('Elec Rates'!D39-'CS Rates'!D39)</f>
        <v>418.45619999999991</v>
      </c>
      <c r="E39" s="12">
        <f>kWh!E39*('Elec Rates'!E39-'CS Rates'!E39)</f>
        <v>440.95560000000006</v>
      </c>
      <c r="F39" s="12">
        <f>kWh!F39*('Elec Rates'!F39-'CS Rates'!F39)</f>
        <v>572.99200000000008</v>
      </c>
      <c r="G39" s="12">
        <f>kWh!G39*('Elec Rates'!G39-'CS Rates'!G39)</f>
        <v>117.2736</v>
      </c>
      <c r="H39" s="12">
        <f>kWh!H39*('Elec Rates'!H39-'CS Rates'!H39)</f>
        <v>989.17200000000014</v>
      </c>
      <c r="I39" s="12">
        <f>kWh!I39*('Elec Rates'!I39-'CS Rates'!I39)</f>
        <v>0</v>
      </c>
      <c r="J39" s="12">
        <f>kWh!J39*('Elec Rates'!J39-'CS Rates'!J39)</f>
        <v>0</v>
      </c>
      <c r="K39" s="12">
        <f>kWh!K39*('Elec Rates'!K39-'CS Rates'!K39)</f>
        <v>0</v>
      </c>
      <c r="L39" s="12">
        <f>kWh!L39*('Elec Rates'!L39-'CS Rates'!L39)</f>
        <v>0</v>
      </c>
      <c r="M39" s="12">
        <f>kWh!M39*('Elec Rates'!M39-'CS Rates'!M39)</f>
        <v>0</v>
      </c>
      <c r="N39" s="12">
        <f>kWh!N39*('Elec Rates'!N39-'CS Rates'!N39)</f>
        <v>0</v>
      </c>
      <c r="O39" s="12">
        <f>kWh!O39*('Elec Rates'!O39-'CS Rates'!O39)</f>
        <v>0</v>
      </c>
      <c r="P39" s="12">
        <f>kWh!P39*('Elec Rates'!P39-'CS Rates'!P39)</f>
        <v>0</v>
      </c>
      <c r="Q39" s="12">
        <f>kWh!Q39*('Elec Rates'!Q39-'CS Rates'!Q39)</f>
        <v>0</v>
      </c>
      <c r="R39" s="12">
        <f>kWh!R39*('Elec Rates'!R39-'CS Rates'!R39)</f>
        <v>0</v>
      </c>
      <c r="S39" s="12">
        <f>kWh!S39*('Elec Rates'!S39-'CS Rates'!S39)</f>
        <v>0</v>
      </c>
      <c r="T39" s="12">
        <f>kWh!T39*('Elec Rates'!T39-'CS Rates'!T39)</f>
        <v>0</v>
      </c>
      <c r="U39" s="12">
        <f>kWh!U39*('Elec Rates'!U39-'CS Rates'!U39)</f>
        <v>0</v>
      </c>
      <c r="V39" s="12">
        <f>kWh!V39*('Elec Rates'!V39-'CS Rates'!V39)</f>
        <v>0</v>
      </c>
      <c r="W39" s="12">
        <f>kWh!W39*('Elec Rates'!W39-'CS Rates'!W39)</f>
        <v>0</v>
      </c>
      <c r="X39" s="12">
        <f>kWh!X39*('Elec Rates'!X39-'CS Rates'!X39)</f>
        <v>0</v>
      </c>
      <c r="Y39" s="12">
        <f>kWh!Y39*('Elec Rates'!Y39-'CS Rates'!Y39)</f>
        <v>0</v>
      </c>
      <c r="Z39" s="12">
        <f>kWh!Z39*('Elec Rates'!Z39-'CS Rates'!Z39)</f>
        <v>0</v>
      </c>
      <c r="AA39" s="12">
        <f>kWh!AA39*('Elec Rates'!AA39-'CS Rates'!AA39)</f>
        <v>0</v>
      </c>
      <c r="AB39" s="12">
        <f>kWh!AB39*('Elec Rates'!AB39-'CS Rates'!AB39)</f>
        <v>0</v>
      </c>
      <c r="AC39" s="12">
        <f>kWh!AC39*('Elec Rates'!AC39-'CS Rates'!AC39)</f>
        <v>0</v>
      </c>
      <c r="AD39" s="12">
        <f>kWh!AD39*('Elec Rates'!AD39-'CS Rates'!AD39)</f>
        <v>0</v>
      </c>
      <c r="AE39" s="12">
        <f>kWh!AE39*('Elec Rates'!AE39-'CS Rates'!AE39)</f>
        <v>0</v>
      </c>
      <c r="AF39" s="12">
        <f>kWh!AF39*('Elec Rates'!AF39-'CS Rates'!AF39)</f>
        <v>0</v>
      </c>
      <c r="AG39" s="12">
        <f>kWh!AG39*('Elec Rates'!AG39-'CS Rates'!AG39)</f>
        <v>0</v>
      </c>
      <c r="AH39" s="12">
        <f>kWh!AH39*('Elec Rates'!AH39-'CS Rates'!AH39)</f>
        <v>0</v>
      </c>
      <c r="AI39" s="12">
        <f>kWh!AI39*('Elec Rates'!AI39-'CS Rates'!AI39)</f>
        <v>0</v>
      </c>
      <c r="AJ39" s="12">
        <f>kWh!AJ39*('Elec Rates'!AJ39-'CS Rates'!AJ39)</f>
        <v>0</v>
      </c>
      <c r="AK39" s="12">
        <f>kWh!AK39*('Elec Rates'!AK39-'CS Rates'!AK39)</f>
        <v>0</v>
      </c>
      <c r="AL39" s="12">
        <f>kWh!AL39*('Elec Rates'!AL39-'CS Rates'!AL39)</f>
        <v>0</v>
      </c>
      <c r="AM39" s="12">
        <f>kWh!AM39*('Elec Rates'!AM39-'CS Rates'!AM39)</f>
        <v>0</v>
      </c>
      <c r="AN39" s="12">
        <f>kWh!AN39*('Elec Rates'!AN39-'CS Rates'!AN39)</f>
        <v>0</v>
      </c>
      <c r="AO39" s="12">
        <f>kWh!AO39*('Elec Rates'!AO39-'CS Rates'!AO39)</f>
        <v>0</v>
      </c>
      <c r="AP39" s="12">
        <f>kWh!AP39*('Elec Rates'!AP39-'CS Rates'!AP39)</f>
        <v>0</v>
      </c>
      <c r="AQ39" s="12">
        <f t="shared" si="0"/>
        <v>3369.4117999999999</v>
      </c>
    </row>
    <row r="40" spans="1:43" x14ac:dyDescent="0.3">
      <c r="A40" s="4">
        <v>45413</v>
      </c>
      <c r="B40" s="12">
        <f>kWh!B40*('Elec Rates'!B40-'CS Rates'!B40)</f>
        <v>368.25599999999991</v>
      </c>
      <c r="C40" s="12">
        <f>kWh!C40*('Elec Rates'!C40-'CS Rates'!C40)</f>
        <v>580.0168000000001</v>
      </c>
      <c r="D40" s="12">
        <f>kWh!D40*('Elec Rates'!D40-'CS Rates'!D40)</f>
        <v>490.64519999999999</v>
      </c>
      <c r="E40" s="12">
        <f>kWh!E40*('Elec Rates'!E40-'CS Rates'!E40)</f>
        <v>611.1468000000001</v>
      </c>
      <c r="F40" s="12">
        <f>kWh!F40*('Elec Rates'!F40-'CS Rates'!F40)</f>
        <v>627.96029999999996</v>
      </c>
      <c r="G40" s="12">
        <f>kWh!G40*('Elec Rates'!G40-'CS Rates'!G40)</f>
        <v>103.04580000000001</v>
      </c>
      <c r="H40" s="12">
        <f>kWh!H40*('Elec Rates'!H40-'CS Rates'!H40)</f>
        <v>1059.0363000000002</v>
      </c>
      <c r="I40" s="12">
        <f>kWh!I40*('Elec Rates'!I40-'CS Rates'!I40)</f>
        <v>0</v>
      </c>
      <c r="J40" s="12">
        <f>kWh!J40*('Elec Rates'!J40-'CS Rates'!J40)</f>
        <v>0</v>
      </c>
      <c r="K40" s="12">
        <f>kWh!K40*('Elec Rates'!K40-'CS Rates'!K40)</f>
        <v>0</v>
      </c>
      <c r="L40" s="12">
        <f>kWh!L40*('Elec Rates'!L40-'CS Rates'!L40)</f>
        <v>0</v>
      </c>
      <c r="M40" s="12">
        <f>kWh!M40*('Elec Rates'!M40-'CS Rates'!M40)</f>
        <v>0</v>
      </c>
      <c r="N40" s="12">
        <f>kWh!N40*('Elec Rates'!N40-'CS Rates'!N40)</f>
        <v>0</v>
      </c>
      <c r="O40" s="12">
        <f>kWh!O40*('Elec Rates'!O40-'CS Rates'!O40)</f>
        <v>0</v>
      </c>
      <c r="P40" s="12">
        <f>kWh!P40*('Elec Rates'!P40-'CS Rates'!P40)</f>
        <v>0</v>
      </c>
      <c r="Q40" s="12">
        <f>kWh!Q40*('Elec Rates'!Q40-'CS Rates'!Q40)</f>
        <v>0</v>
      </c>
      <c r="R40" s="12">
        <f>kWh!R40*('Elec Rates'!R40-'CS Rates'!R40)</f>
        <v>0</v>
      </c>
      <c r="S40" s="12">
        <f>kWh!S40*('Elec Rates'!S40-'CS Rates'!S40)</f>
        <v>0</v>
      </c>
      <c r="T40" s="12">
        <f>kWh!T40*('Elec Rates'!T40-'CS Rates'!T40)</f>
        <v>0</v>
      </c>
      <c r="U40" s="12">
        <f>kWh!U40*('Elec Rates'!U40-'CS Rates'!U40)</f>
        <v>0</v>
      </c>
      <c r="V40" s="12">
        <f>kWh!V40*('Elec Rates'!V40-'CS Rates'!V40)</f>
        <v>0</v>
      </c>
      <c r="W40" s="12">
        <f>kWh!W40*('Elec Rates'!W40-'CS Rates'!W40)</f>
        <v>0</v>
      </c>
      <c r="X40" s="12">
        <f>kWh!X40*('Elec Rates'!X40-'CS Rates'!X40)</f>
        <v>0</v>
      </c>
      <c r="Y40" s="12">
        <f>kWh!Y40*('Elec Rates'!Y40-'CS Rates'!Y40)</f>
        <v>0</v>
      </c>
      <c r="Z40" s="12">
        <f>kWh!Z40*('Elec Rates'!Z40-'CS Rates'!Z40)</f>
        <v>0</v>
      </c>
      <c r="AA40" s="12">
        <f>kWh!AA40*('Elec Rates'!AA40-'CS Rates'!AA40)</f>
        <v>0</v>
      </c>
      <c r="AB40" s="12">
        <f>kWh!AB40*('Elec Rates'!AB40-'CS Rates'!AB40)</f>
        <v>0</v>
      </c>
      <c r="AC40" s="12">
        <f>kWh!AC40*('Elec Rates'!AC40-'CS Rates'!AC40)</f>
        <v>0</v>
      </c>
      <c r="AD40" s="12">
        <f>kWh!AD40*('Elec Rates'!AD40-'CS Rates'!AD40)</f>
        <v>0</v>
      </c>
      <c r="AE40" s="12">
        <f>kWh!AE40*('Elec Rates'!AE40-'CS Rates'!AE40)</f>
        <v>0</v>
      </c>
      <c r="AF40" s="12">
        <f>kWh!AF40*('Elec Rates'!AF40-'CS Rates'!AF40)</f>
        <v>0</v>
      </c>
      <c r="AG40" s="12">
        <f>kWh!AG40*('Elec Rates'!AG40-'CS Rates'!AG40)</f>
        <v>0</v>
      </c>
      <c r="AH40" s="12">
        <f>kWh!AH40*('Elec Rates'!AH40-'CS Rates'!AH40)</f>
        <v>0</v>
      </c>
      <c r="AI40" s="12">
        <f>kWh!AI40*('Elec Rates'!AI40-'CS Rates'!AI40)</f>
        <v>0</v>
      </c>
      <c r="AJ40" s="12">
        <f>kWh!AJ40*('Elec Rates'!AJ40-'CS Rates'!AJ40)</f>
        <v>0</v>
      </c>
      <c r="AK40" s="12">
        <f>kWh!AK40*('Elec Rates'!AK40-'CS Rates'!AK40)</f>
        <v>0</v>
      </c>
      <c r="AL40" s="12">
        <f>kWh!AL40*('Elec Rates'!AL40-'CS Rates'!AL40)</f>
        <v>0</v>
      </c>
      <c r="AM40" s="12">
        <f>kWh!AM40*('Elec Rates'!AM40-'CS Rates'!AM40)</f>
        <v>0</v>
      </c>
      <c r="AN40" s="12">
        <f>kWh!AN40*('Elec Rates'!AN40-'CS Rates'!AN40)</f>
        <v>0</v>
      </c>
      <c r="AO40" s="12">
        <f>kWh!AO40*('Elec Rates'!AO40-'CS Rates'!AO40)</f>
        <v>0</v>
      </c>
      <c r="AP40" s="12">
        <f>kWh!AP40*('Elec Rates'!AP40-'CS Rates'!AP40)</f>
        <v>0</v>
      </c>
      <c r="AQ40" s="12">
        <f t="shared" si="0"/>
        <v>3840.1071999999999</v>
      </c>
    </row>
    <row r="41" spans="1:43" x14ac:dyDescent="0.3">
      <c r="A41" s="4">
        <v>45444</v>
      </c>
      <c r="B41" s="12">
        <f>kWh!B41*('Elec Rates'!B41-'CS Rates'!B41)</f>
        <v>1354.8587999999997</v>
      </c>
      <c r="C41" s="12">
        <f>kWh!C41*('Elec Rates'!C41-'CS Rates'!C41)</f>
        <v>616.70100000000002</v>
      </c>
      <c r="D41" s="12">
        <f>kWh!D41*('Elec Rates'!D41-'CS Rates'!D41)</f>
        <v>1489.7904000000001</v>
      </c>
      <c r="E41" s="12">
        <f>kWh!E41*('Elec Rates'!E41-'CS Rates'!E41)</f>
        <v>1840.8271</v>
      </c>
      <c r="F41" s="12">
        <f>kWh!F41*('Elec Rates'!F41-'CS Rates'!F41)</f>
        <v>735.50630000000001</v>
      </c>
      <c r="G41" s="12">
        <f>kWh!G41*('Elec Rates'!G41-'CS Rates'!G41)</f>
        <v>392.11469999999997</v>
      </c>
      <c r="H41" s="12">
        <f>kWh!H41*('Elec Rates'!H41-'CS Rates'!H41)</f>
        <v>1169.0775000000003</v>
      </c>
      <c r="I41" s="12">
        <f>kWh!I41*('Elec Rates'!I41-'CS Rates'!I41)</f>
        <v>0</v>
      </c>
      <c r="J41" s="12">
        <f>kWh!J41*('Elec Rates'!J41-'CS Rates'!J41)</f>
        <v>0</v>
      </c>
      <c r="K41" s="12">
        <f>kWh!K41*('Elec Rates'!K41-'CS Rates'!K41)</f>
        <v>0</v>
      </c>
      <c r="L41" s="12">
        <f>kWh!L41*('Elec Rates'!L41-'CS Rates'!L41)</f>
        <v>0</v>
      </c>
      <c r="M41" s="12">
        <f>kWh!M41*('Elec Rates'!M41-'CS Rates'!M41)</f>
        <v>0</v>
      </c>
      <c r="N41" s="12">
        <f>kWh!N41*('Elec Rates'!N41-'CS Rates'!N41)</f>
        <v>0</v>
      </c>
      <c r="O41" s="12">
        <f>kWh!O41*('Elec Rates'!O41-'CS Rates'!O41)</f>
        <v>0</v>
      </c>
      <c r="P41" s="12">
        <f>kWh!P41*('Elec Rates'!P41-'CS Rates'!P41)</f>
        <v>0</v>
      </c>
      <c r="Q41" s="12">
        <f>kWh!Q41*('Elec Rates'!Q41-'CS Rates'!Q41)</f>
        <v>0</v>
      </c>
      <c r="R41" s="12">
        <f>kWh!R41*('Elec Rates'!R41-'CS Rates'!R41)</f>
        <v>0</v>
      </c>
      <c r="S41" s="12">
        <f>kWh!S41*('Elec Rates'!S41-'CS Rates'!S41)</f>
        <v>0</v>
      </c>
      <c r="T41" s="12">
        <f>kWh!T41*('Elec Rates'!T41-'CS Rates'!T41)</f>
        <v>0</v>
      </c>
      <c r="U41" s="12">
        <f>kWh!U41*('Elec Rates'!U41-'CS Rates'!U41)</f>
        <v>0</v>
      </c>
      <c r="V41" s="12">
        <f>kWh!V41*('Elec Rates'!V41-'CS Rates'!V41)</f>
        <v>0</v>
      </c>
      <c r="W41" s="12">
        <f>kWh!W41*('Elec Rates'!W41-'CS Rates'!W41)</f>
        <v>0</v>
      </c>
      <c r="X41" s="12">
        <f>kWh!X41*('Elec Rates'!X41-'CS Rates'!X41)</f>
        <v>0</v>
      </c>
      <c r="Y41" s="12">
        <f>kWh!Y41*('Elec Rates'!Y41-'CS Rates'!Y41)</f>
        <v>0</v>
      </c>
      <c r="Z41" s="12">
        <f>kWh!Z41*('Elec Rates'!Z41-'CS Rates'!Z41)</f>
        <v>0</v>
      </c>
      <c r="AA41" s="12">
        <f>kWh!AA41*('Elec Rates'!AA41-'CS Rates'!AA41)</f>
        <v>0</v>
      </c>
      <c r="AB41" s="12">
        <f>kWh!AB41*('Elec Rates'!AB41-'CS Rates'!AB41)</f>
        <v>0</v>
      </c>
      <c r="AC41" s="12">
        <f>kWh!AC41*('Elec Rates'!AC41-'CS Rates'!AC41)</f>
        <v>0</v>
      </c>
      <c r="AD41" s="12">
        <f>kWh!AD41*('Elec Rates'!AD41-'CS Rates'!AD41)</f>
        <v>0</v>
      </c>
      <c r="AE41" s="12">
        <f>kWh!AE41*('Elec Rates'!AE41-'CS Rates'!AE41)</f>
        <v>0</v>
      </c>
      <c r="AF41" s="12">
        <f>kWh!AF41*('Elec Rates'!AF41-'CS Rates'!AF41)</f>
        <v>0</v>
      </c>
      <c r="AG41" s="12">
        <f>kWh!AG41*('Elec Rates'!AG41-'CS Rates'!AG41)</f>
        <v>0</v>
      </c>
      <c r="AH41" s="12">
        <f>kWh!AH41*('Elec Rates'!AH41-'CS Rates'!AH41)</f>
        <v>0</v>
      </c>
      <c r="AI41" s="12">
        <f>kWh!AI41*('Elec Rates'!AI41-'CS Rates'!AI41)</f>
        <v>0</v>
      </c>
      <c r="AJ41" s="12">
        <f>kWh!AJ41*('Elec Rates'!AJ41-'CS Rates'!AJ41)</f>
        <v>0</v>
      </c>
      <c r="AK41" s="12">
        <f>kWh!AK41*('Elec Rates'!AK41-'CS Rates'!AK41)</f>
        <v>0</v>
      </c>
      <c r="AL41" s="12">
        <f>kWh!AL41*('Elec Rates'!AL41-'CS Rates'!AL41)</f>
        <v>0</v>
      </c>
      <c r="AM41" s="12">
        <f>kWh!AM41*('Elec Rates'!AM41-'CS Rates'!AM41)</f>
        <v>0</v>
      </c>
      <c r="AN41" s="12">
        <f>kWh!AN41*('Elec Rates'!AN41-'CS Rates'!AN41)</f>
        <v>0</v>
      </c>
      <c r="AO41" s="12">
        <f>kWh!AO41*('Elec Rates'!AO41-'CS Rates'!AO41)</f>
        <v>0</v>
      </c>
      <c r="AP41" s="12">
        <f>kWh!AP41*('Elec Rates'!AP41-'CS Rates'!AP41)</f>
        <v>0</v>
      </c>
      <c r="AQ41" s="12">
        <f t="shared" si="0"/>
        <v>7598.8757999999998</v>
      </c>
    </row>
    <row r="42" spans="1:43" x14ac:dyDescent="0.3">
      <c r="A42" s="4">
        <v>45474</v>
      </c>
      <c r="B42" s="12">
        <f>kWh!B42*('Elec Rates'!B42-'CS Rates'!B42)</f>
        <v>1006.6264</v>
      </c>
      <c r="C42" s="12">
        <f>kWh!C42*('Elec Rates'!C42-'CS Rates'!C42)</f>
        <v>497.64</v>
      </c>
      <c r="D42" s="12">
        <f>kWh!D42*('Elec Rates'!D42-'CS Rates'!D42)</f>
        <v>1472.5871999999997</v>
      </c>
      <c r="E42" s="12">
        <f>kWh!E42*('Elec Rates'!E42-'CS Rates'!E42)</f>
        <v>1594.124</v>
      </c>
      <c r="F42" s="12">
        <f>kWh!F42*('Elec Rates'!F42-'CS Rates'!F42)</f>
        <v>664.1019</v>
      </c>
      <c r="G42" s="12">
        <f>kWh!G42*('Elec Rates'!G42-'CS Rates'!G42)</f>
        <v>340.4144</v>
      </c>
      <c r="H42" s="12">
        <f>kWh!H42*('Elec Rates'!H42-'CS Rates'!H42)</f>
        <v>996.21020000000021</v>
      </c>
      <c r="I42" s="12">
        <f>kWh!I42*('Elec Rates'!I42-'CS Rates'!I42)</f>
        <v>0</v>
      </c>
      <c r="J42" s="12">
        <f>kWh!J42*('Elec Rates'!J42-'CS Rates'!J42)</f>
        <v>0</v>
      </c>
      <c r="K42" s="12">
        <f>kWh!K42*('Elec Rates'!K42-'CS Rates'!K42)</f>
        <v>0</v>
      </c>
      <c r="L42" s="12">
        <f>kWh!L42*('Elec Rates'!L42-'CS Rates'!L42)</f>
        <v>0</v>
      </c>
      <c r="M42" s="12">
        <f>kWh!M42*('Elec Rates'!M42-'CS Rates'!M42)</f>
        <v>0</v>
      </c>
      <c r="N42" s="12">
        <f>kWh!N42*('Elec Rates'!N42-'CS Rates'!N42)</f>
        <v>0</v>
      </c>
      <c r="O42" s="12">
        <f>kWh!O42*('Elec Rates'!O42-'CS Rates'!O42)</f>
        <v>0</v>
      </c>
      <c r="P42" s="12">
        <f>kWh!P42*('Elec Rates'!P42-'CS Rates'!P42)</f>
        <v>0</v>
      </c>
      <c r="Q42" s="12">
        <f>kWh!Q42*('Elec Rates'!Q42-'CS Rates'!Q42)</f>
        <v>0</v>
      </c>
      <c r="R42" s="12">
        <f>kWh!R42*('Elec Rates'!R42-'CS Rates'!R42)</f>
        <v>0</v>
      </c>
      <c r="S42" s="12">
        <f>kWh!S42*('Elec Rates'!S42-'CS Rates'!S42)</f>
        <v>0</v>
      </c>
      <c r="T42" s="12">
        <f>kWh!T42*('Elec Rates'!T42-'CS Rates'!T42)</f>
        <v>0</v>
      </c>
      <c r="U42" s="12">
        <f>kWh!U42*('Elec Rates'!U42-'CS Rates'!U42)</f>
        <v>0</v>
      </c>
      <c r="V42" s="12">
        <f>kWh!V42*('Elec Rates'!V42-'CS Rates'!V42)</f>
        <v>0</v>
      </c>
      <c r="W42" s="12">
        <f>kWh!W42*('Elec Rates'!W42-'CS Rates'!W42)</f>
        <v>0</v>
      </c>
      <c r="X42" s="12">
        <f>kWh!X42*('Elec Rates'!X42-'CS Rates'!X42)</f>
        <v>0</v>
      </c>
      <c r="Y42" s="12">
        <f>kWh!Y42*('Elec Rates'!Y42-'CS Rates'!Y42)</f>
        <v>0</v>
      </c>
      <c r="Z42" s="12">
        <f>kWh!Z42*('Elec Rates'!Z42-'CS Rates'!Z42)</f>
        <v>0</v>
      </c>
      <c r="AA42" s="12">
        <f>kWh!AA42*('Elec Rates'!AA42-'CS Rates'!AA42)</f>
        <v>0</v>
      </c>
      <c r="AB42" s="12">
        <f>kWh!AB42*('Elec Rates'!AB42-'CS Rates'!AB42)</f>
        <v>0</v>
      </c>
      <c r="AC42" s="12">
        <f>kWh!AC42*('Elec Rates'!AC42-'CS Rates'!AC42)</f>
        <v>0</v>
      </c>
      <c r="AD42" s="12">
        <f>kWh!AD42*('Elec Rates'!AD42-'CS Rates'!AD42)</f>
        <v>0</v>
      </c>
      <c r="AE42" s="12">
        <f>kWh!AE42*('Elec Rates'!AE42-'CS Rates'!AE42)</f>
        <v>0</v>
      </c>
      <c r="AF42" s="12">
        <f>kWh!AF42*('Elec Rates'!AF42-'CS Rates'!AF42)</f>
        <v>0</v>
      </c>
      <c r="AG42" s="12">
        <f>kWh!AG42*('Elec Rates'!AG42-'CS Rates'!AG42)</f>
        <v>0</v>
      </c>
      <c r="AH42" s="12">
        <f>kWh!AH42*('Elec Rates'!AH42-'CS Rates'!AH42)</f>
        <v>0</v>
      </c>
      <c r="AI42" s="12">
        <f>kWh!AI42*('Elec Rates'!AI42-'CS Rates'!AI42)</f>
        <v>0</v>
      </c>
      <c r="AJ42" s="12">
        <f>kWh!AJ42*('Elec Rates'!AJ42-'CS Rates'!AJ42)</f>
        <v>0</v>
      </c>
      <c r="AK42" s="12">
        <f>kWh!AK42*('Elec Rates'!AK42-'CS Rates'!AK42)</f>
        <v>0</v>
      </c>
      <c r="AL42" s="12">
        <f>kWh!AL42*('Elec Rates'!AL42-'CS Rates'!AL42)</f>
        <v>0</v>
      </c>
      <c r="AM42" s="12">
        <f>kWh!AM42*('Elec Rates'!AM42-'CS Rates'!AM42)</f>
        <v>0</v>
      </c>
      <c r="AN42" s="12">
        <f>kWh!AN42*('Elec Rates'!AN42-'CS Rates'!AN42)</f>
        <v>0</v>
      </c>
      <c r="AO42" s="12">
        <f>kWh!AO42*('Elec Rates'!AO42-'CS Rates'!AO42)</f>
        <v>0</v>
      </c>
      <c r="AP42" s="12">
        <f>kWh!AP42*('Elec Rates'!AP42-'CS Rates'!AP42)</f>
        <v>0</v>
      </c>
      <c r="AQ42" s="12">
        <f t="shared" si="0"/>
        <v>6571.704099999999</v>
      </c>
    </row>
    <row r="43" spans="1:43" x14ac:dyDescent="0.3">
      <c r="A43" s="4">
        <v>45505</v>
      </c>
      <c r="B43" s="12">
        <f>kWh!B43*('Elec Rates'!B43-'CS Rates'!B43)</f>
        <v>1297.7975999999996</v>
      </c>
      <c r="C43" s="12">
        <f>kWh!C43*('Elec Rates'!C43-'CS Rates'!C43)</f>
        <v>601.54739999999993</v>
      </c>
      <c r="D43" s="12">
        <f>kWh!D43*('Elec Rates'!D43-'CS Rates'!D43)</f>
        <v>1693.9259999999997</v>
      </c>
      <c r="E43" s="12">
        <f>kWh!E43*('Elec Rates'!E43-'CS Rates'!E43)</f>
        <v>1828.1723999999999</v>
      </c>
      <c r="F43" s="12">
        <f>kWh!F43*('Elec Rates'!F43-'CS Rates'!F43)</f>
        <v>795.80319999999995</v>
      </c>
      <c r="G43" s="12">
        <f>kWh!G43*('Elec Rates'!G43-'CS Rates'!G43)</f>
        <v>407.31389999999999</v>
      </c>
      <c r="H43" s="12">
        <f>kWh!H43*('Elec Rates'!H43-'CS Rates'!H43)</f>
        <v>1135.6632000000002</v>
      </c>
      <c r="I43" s="12">
        <f>kWh!I43*('Elec Rates'!I43-'CS Rates'!I43)</f>
        <v>0</v>
      </c>
      <c r="J43" s="12">
        <f>kWh!J43*('Elec Rates'!J43-'CS Rates'!J43)</f>
        <v>0</v>
      </c>
      <c r="K43" s="12">
        <f>kWh!K43*('Elec Rates'!K43-'CS Rates'!K43)</f>
        <v>0</v>
      </c>
      <c r="L43" s="12">
        <f>kWh!L43*('Elec Rates'!L43-'CS Rates'!L43)</f>
        <v>0</v>
      </c>
      <c r="M43" s="12">
        <f>kWh!M43*('Elec Rates'!M43-'CS Rates'!M43)</f>
        <v>0</v>
      </c>
      <c r="N43" s="12">
        <f>kWh!N43*('Elec Rates'!N43-'CS Rates'!N43)</f>
        <v>0</v>
      </c>
      <c r="O43" s="12">
        <f>kWh!O43*('Elec Rates'!O43-'CS Rates'!O43)</f>
        <v>0</v>
      </c>
      <c r="P43" s="12">
        <f>kWh!P43*('Elec Rates'!P43-'CS Rates'!P43)</f>
        <v>0</v>
      </c>
      <c r="Q43" s="12">
        <f>kWh!Q43*('Elec Rates'!Q43-'CS Rates'!Q43)</f>
        <v>0</v>
      </c>
      <c r="R43" s="12">
        <f>kWh!R43*('Elec Rates'!R43-'CS Rates'!R43)</f>
        <v>0</v>
      </c>
      <c r="S43" s="12">
        <f>kWh!S43*('Elec Rates'!S43-'CS Rates'!S43)</f>
        <v>0</v>
      </c>
      <c r="T43" s="12">
        <f>kWh!T43*('Elec Rates'!T43-'CS Rates'!T43)</f>
        <v>0</v>
      </c>
      <c r="U43" s="12">
        <f>kWh!U43*('Elec Rates'!U43-'CS Rates'!U43)</f>
        <v>0</v>
      </c>
      <c r="V43" s="12">
        <f>kWh!V43*('Elec Rates'!V43-'CS Rates'!V43)</f>
        <v>0</v>
      </c>
      <c r="W43" s="12">
        <f>kWh!W43*('Elec Rates'!W43-'CS Rates'!W43)</f>
        <v>0</v>
      </c>
      <c r="X43" s="12">
        <f>kWh!X43*('Elec Rates'!X43-'CS Rates'!X43)</f>
        <v>0</v>
      </c>
      <c r="Y43" s="12">
        <f>kWh!Y43*('Elec Rates'!Y43-'CS Rates'!Y43)</f>
        <v>0</v>
      </c>
      <c r="Z43" s="12">
        <f>kWh!Z43*('Elec Rates'!Z43-'CS Rates'!Z43)</f>
        <v>0</v>
      </c>
      <c r="AA43" s="12">
        <f>kWh!AA43*('Elec Rates'!AA43-'CS Rates'!AA43)</f>
        <v>0</v>
      </c>
      <c r="AB43" s="12">
        <f>kWh!AB43*('Elec Rates'!AB43-'CS Rates'!AB43)</f>
        <v>0</v>
      </c>
      <c r="AC43" s="12">
        <f>kWh!AC43*('Elec Rates'!AC43-'CS Rates'!AC43)</f>
        <v>0</v>
      </c>
      <c r="AD43" s="12">
        <f>kWh!AD43*('Elec Rates'!AD43-'CS Rates'!AD43)</f>
        <v>0</v>
      </c>
      <c r="AE43" s="12">
        <f>kWh!AE43*('Elec Rates'!AE43-'CS Rates'!AE43)</f>
        <v>0</v>
      </c>
      <c r="AF43" s="12">
        <f>kWh!AF43*('Elec Rates'!AF43-'CS Rates'!AF43)</f>
        <v>0</v>
      </c>
      <c r="AG43" s="12">
        <f>kWh!AG43*('Elec Rates'!AG43-'CS Rates'!AG43)</f>
        <v>0</v>
      </c>
      <c r="AH43" s="12">
        <f>kWh!AH43*('Elec Rates'!AH43-'CS Rates'!AH43)</f>
        <v>0</v>
      </c>
      <c r="AI43" s="12">
        <f>kWh!AI43*('Elec Rates'!AI43-'CS Rates'!AI43)</f>
        <v>0</v>
      </c>
      <c r="AJ43" s="12">
        <f>kWh!AJ43*('Elec Rates'!AJ43-'CS Rates'!AJ43)</f>
        <v>0</v>
      </c>
      <c r="AK43" s="12">
        <f>kWh!AK43*('Elec Rates'!AK43-'CS Rates'!AK43)</f>
        <v>0</v>
      </c>
      <c r="AL43" s="12">
        <f>kWh!AL43*('Elec Rates'!AL43-'CS Rates'!AL43)</f>
        <v>0</v>
      </c>
      <c r="AM43" s="12">
        <f>kWh!AM43*('Elec Rates'!AM43-'CS Rates'!AM43)</f>
        <v>0</v>
      </c>
      <c r="AN43" s="12">
        <f>kWh!AN43*('Elec Rates'!AN43-'CS Rates'!AN43)</f>
        <v>0</v>
      </c>
      <c r="AO43" s="12">
        <f>kWh!AO43*('Elec Rates'!AO43-'CS Rates'!AO43)</f>
        <v>0</v>
      </c>
      <c r="AP43" s="12">
        <f>kWh!AP43*('Elec Rates'!AP43-'CS Rates'!AP43)</f>
        <v>0</v>
      </c>
      <c r="AQ43" s="12">
        <f t="shared" si="0"/>
        <v>7760.2236999999996</v>
      </c>
    </row>
    <row r="44" spans="1:43" x14ac:dyDescent="0.3">
      <c r="A44" s="4">
        <v>45536</v>
      </c>
      <c r="B44" s="12">
        <f>kWh!B44*('Elec Rates'!B44-'CS Rates'!B44)</f>
        <v>798.45960000000014</v>
      </c>
      <c r="C44" s="12">
        <f>kWh!C44*('Elec Rates'!C44-'CS Rates'!C44)</f>
        <v>370.49419999999998</v>
      </c>
      <c r="D44" s="12">
        <f>kWh!D44*('Elec Rates'!D44-'CS Rates'!D44)</f>
        <v>956.83140000000003</v>
      </c>
      <c r="E44" s="12">
        <f>kWh!E44*('Elec Rates'!E44-'CS Rates'!E44)</f>
        <v>1007.1018</v>
      </c>
      <c r="F44" s="12">
        <f>kWh!F44*('Elec Rates'!F44-'CS Rates'!F44)</f>
        <v>478.7706</v>
      </c>
      <c r="G44" s="12">
        <f>kWh!G44*('Elec Rates'!G44-'CS Rates'!G44)</f>
        <v>264.37080000000003</v>
      </c>
      <c r="H44" s="12">
        <f>kWh!H44*('Elec Rates'!H44-'CS Rates'!H44)</f>
        <v>746.93850000000009</v>
      </c>
      <c r="I44" s="12">
        <f>kWh!I44*('Elec Rates'!I44-'CS Rates'!I44)</f>
        <v>0</v>
      </c>
      <c r="J44" s="12">
        <f>kWh!J44*('Elec Rates'!J44-'CS Rates'!J44)</f>
        <v>0</v>
      </c>
      <c r="K44" s="12">
        <f>kWh!K44*('Elec Rates'!K44-'CS Rates'!K44)</f>
        <v>0</v>
      </c>
      <c r="L44" s="12">
        <f>kWh!L44*('Elec Rates'!L44-'CS Rates'!L44)</f>
        <v>0</v>
      </c>
      <c r="M44" s="12">
        <f>kWh!M44*('Elec Rates'!M44-'CS Rates'!M44)</f>
        <v>0</v>
      </c>
      <c r="N44" s="12">
        <f>kWh!N44*('Elec Rates'!N44-'CS Rates'!N44)</f>
        <v>0</v>
      </c>
      <c r="O44" s="12">
        <f>kWh!O44*('Elec Rates'!O44-'CS Rates'!O44)</f>
        <v>0</v>
      </c>
      <c r="P44" s="12">
        <f>kWh!P44*('Elec Rates'!P44-'CS Rates'!P44)</f>
        <v>0</v>
      </c>
      <c r="Q44" s="12">
        <f>kWh!Q44*('Elec Rates'!Q44-'CS Rates'!Q44)</f>
        <v>0</v>
      </c>
      <c r="R44" s="12">
        <f>kWh!R44*('Elec Rates'!R44-'CS Rates'!R44)</f>
        <v>0</v>
      </c>
      <c r="S44" s="12">
        <f>kWh!S44*('Elec Rates'!S44-'CS Rates'!S44)</f>
        <v>0</v>
      </c>
      <c r="T44" s="12">
        <f>kWh!T44*('Elec Rates'!T44-'CS Rates'!T44)</f>
        <v>0</v>
      </c>
      <c r="U44" s="12">
        <f>kWh!U44*('Elec Rates'!U44-'CS Rates'!U44)</f>
        <v>0</v>
      </c>
      <c r="V44" s="12">
        <f>kWh!V44*('Elec Rates'!V44-'CS Rates'!V44)</f>
        <v>0</v>
      </c>
      <c r="W44" s="12">
        <f>kWh!W44*('Elec Rates'!W44-'CS Rates'!W44)</f>
        <v>0</v>
      </c>
      <c r="X44" s="12">
        <f>kWh!X44*('Elec Rates'!X44-'CS Rates'!X44)</f>
        <v>0</v>
      </c>
      <c r="Y44" s="12">
        <f>kWh!Y44*('Elec Rates'!Y44-'CS Rates'!Y44)</f>
        <v>0</v>
      </c>
      <c r="Z44" s="12">
        <f>kWh!Z44*('Elec Rates'!Z44-'CS Rates'!Z44)</f>
        <v>0</v>
      </c>
      <c r="AA44" s="12">
        <f>kWh!AA44*('Elec Rates'!AA44-'CS Rates'!AA44)</f>
        <v>0</v>
      </c>
      <c r="AB44" s="12">
        <f>kWh!AB44*('Elec Rates'!AB44-'CS Rates'!AB44)</f>
        <v>0</v>
      </c>
      <c r="AC44" s="12">
        <f>kWh!AC44*('Elec Rates'!AC44-'CS Rates'!AC44)</f>
        <v>0</v>
      </c>
      <c r="AD44" s="12">
        <f>kWh!AD44*('Elec Rates'!AD44-'CS Rates'!AD44)</f>
        <v>0</v>
      </c>
      <c r="AE44" s="12">
        <f>kWh!AE44*('Elec Rates'!AE44-'CS Rates'!AE44)</f>
        <v>0</v>
      </c>
      <c r="AF44" s="12">
        <f>kWh!AF44*('Elec Rates'!AF44-'CS Rates'!AF44)</f>
        <v>0</v>
      </c>
      <c r="AG44" s="12">
        <f>kWh!AG44*('Elec Rates'!AG44-'CS Rates'!AG44)</f>
        <v>0</v>
      </c>
      <c r="AH44" s="12">
        <f>kWh!AH44*('Elec Rates'!AH44-'CS Rates'!AH44)</f>
        <v>0</v>
      </c>
      <c r="AI44" s="12">
        <f>kWh!AI44*('Elec Rates'!AI44-'CS Rates'!AI44)</f>
        <v>0</v>
      </c>
      <c r="AJ44" s="12">
        <f>kWh!AJ44*('Elec Rates'!AJ44-'CS Rates'!AJ44)</f>
        <v>0</v>
      </c>
      <c r="AK44" s="12">
        <f>kWh!AK44*('Elec Rates'!AK44-'CS Rates'!AK44)</f>
        <v>0</v>
      </c>
      <c r="AL44" s="12">
        <f>kWh!AL44*('Elec Rates'!AL44-'CS Rates'!AL44)</f>
        <v>0</v>
      </c>
      <c r="AM44" s="12">
        <f>kWh!AM44*('Elec Rates'!AM44-'CS Rates'!AM44)</f>
        <v>0</v>
      </c>
      <c r="AN44" s="12">
        <f>kWh!AN44*('Elec Rates'!AN44-'CS Rates'!AN44)</f>
        <v>0</v>
      </c>
      <c r="AO44" s="12">
        <f>kWh!AO44*('Elec Rates'!AO44-'CS Rates'!AO44)</f>
        <v>0</v>
      </c>
      <c r="AP44" s="12">
        <f>kWh!AP44*('Elec Rates'!AP44-'CS Rates'!AP44)</f>
        <v>0</v>
      </c>
      <c r="AQ44" s="12">
        <f t="shared" si="0"/>
        <v>4622.9669000000004</v>
      </c>
    </row>
    <row r="45" spans="1:43" x14ac:dyDescent="0.3">
      <c r="A45" s="4">
        <v>45566</v>
      </c>
      <c r="B45" s="12">
        <f>kWh!B45*('Elec Rates'!B45-'CS Rates'!B45)</f>
        <v>337.74719999999996</v>
      </c>
      <c r="C45" s="12">
        <f>kWh!C45*('Elec Rates'!C45-'CS Rates'!C45)</f>
        <v>326.20520000000005</v>
      </c>
      <c r="D45" s="12">
        <f>kWh!D45*('Elec Rates'!D45-'CS Rates'!D45)</f>
        <v>481.98779999999999</v>
      </c>
      <c r="E45" s="12">
        <f>kWh!E45*('Elec Rates'!E45-'CS Rates'!E45)</f>
        <v>549.40560000000005</v>
      </c>
      <c r="F45" s="12">
        <f>kWh!F45*('Elec Rates'!F45-'CS Rates'!F45)</f>
        <v>596.11860000000001</v>
      </c>
      <c r="G45" s="12">
        <f>kWh!G45*('Elec Rates'!G45-'CS Rates'!G45)</f>
        <v>143.36670000000004</v>
      </c>
      <c r="H45" s="12">
        <f>kWh!H45*('Elec Rates'!H45-'CS Rates'!H45)</f>
        <v>877.13880000000017</v>
      </c>
      <c r="I45" s="12">
        <f>kWh!I45*('Elec Rates'!I45-'CS Rates'!I45)</f>
        <v>0</v>
      </c>
      <c r="J45" s="12">
        <f>kWh!J45*('Elec Rates'!J45-'CS Rates'!J45)</f>
        <v>0</v>
      </c>
      <c r="K45" s="12">
        <f>kWh!K45*('Elec Rates'!K45-'CS Rates'!K45)</f>
        <v>0</v>
      </c>
      <c r="L45" s="12">
        <f>kWh!L45*('Elec Rates'!L45-'CS Rates'!L45)</f>
        <v>0</v>
      </c>
      <c r="M45" s="12">
        <f>kWh!M45*('Elec Rates'!M45-'CS Rates'!M45)</f>
        <v>0</v>
      </c>
      <c r="N45" s="12">
        <f>kWh!N45*('Elec Rates'!N45-'CS Rates'!N45)</f>
        <v>0</v>
      </c>
      <c r="O45" s="12">
        <f>kWh!O45*('Elec Rates'!O45-'CS Rates'!O45)</f>
        <v>0</v>
      </c>
      <c r="P45" s="12">
        <f>kWh!P45*('Elec Rates'!P45-'CS Rates'!P45)</f>
        <v>0</v>
      </c>
      <c r="Q45" s="12">
        <f>kWh!Q45*('Elec Rates'!Q45-'CS Rates'!Q45)</f>
        <v>0</v>
      </c>
      <c r="R45" s="12">
        <f>kWh!R45*('Elec Rates'!R45-'CS Rates'!R45)</f>
        <v>0</v>
      </c>
      <c r="S45" s="12">
        <f>kWh!S45*('Elec Rates'!S45-'CS Rates'!S45)</f>
        <v>0</v>
      </c>
      <c r="T45" s="12">
        <f>kWh!T45*('Elec Rates'!T45-'CS Rates'!T45)</f>
        <v>0</v>
      </c>
      <c r="U45" s="12">
        <f>kWh!U45*('Elec Rates'!U45-'CS Rates'!U45)</f>
        <v>0</v>
      </c>
      <c r="V45" s="12">
        <f>kWh!V45*('Elec Rates'!V45-'CS Rates'!V45)</f>
        <v>0</v>
      </c>
      <c r="W45" s="12">
        <f>kWh!W45*('Elec Rates'!W45-'CS Rates'!W45)</f>
        <v>0</v>
      </c>
      <c r="X45" s="12">
        <f>kWh!X45*('Elec Rates'!X45-'CS Rates'!X45)</f>
        <v>0</v>
      </c>
      <c r="Y45" s="12">
        <f>kWh!Y45*('Elec Rates'!Y45-'CS Rates'!Y45)</f>
        <v>0</v>
      </c>
      <c r="Z45" s="12">
        <f>kWh!Z45*('Elec Rates'!Z45-'CS Rates'!Z45)</f>
        <v>0</v>
      </c>
      <c r="AA45" s="12">
        <f>kWh!AA45*('Elec Rates'!AA45-'CS Rates'!AA45)</f>
        <v>0</v>
      </c>
      <c r="AB45" s="12">
        <f>kWh!AB45*('Elec Rates'!AB45-'CS Rates'!AB45)</f>
        <v>0</v>
      </c>
      <c r="AC45" s="12">
        <f>kWh!AC45*('Elec Rates'!AC45-'CS Rates'!AC45)</f>
        <v>0</v>
      </c>
      <c r="AD45" s="12">
        <f>kWh!AD45*('Elec Rates'!AD45-'CS Rates'!AD45)</f>
        <v>0</v>
      </c>
      <c r="AE45" s="12">
        <f>kWh!AE45*('Elec Rates'!AE45-'CS Rates'!AE45)</f>
        <v>0</v>
      </c>
      <c r="AF45" s="12">
        <f>kWh!AF45*('Elec Rates'!AF45-'CS Rates'!AF45)</f>
        <v>0</v>
      </c>
      <c r="AG45" s="12">
        <f>kWh!AG45*('Elec Rates'!AG45-'CS Rates'!AG45)</f>
        <v>0</v>
      </c>
      <c r="AH45" s="12">
        <f>kWh!AH45*('Elec Rates'!AH45-'CS Rates'!AH45)</f>
        <v>0</v>
      </c>
      <c r="AI45" s="12">
        <f>kWh!AI45*('Elec Rates'!AI45-'CS Rates'!AI45)</f>
        <v>0</v>
      </c>
      <c r="AJ45" s="12">
        <f>kWh!AJ45*('Elec Rates'!AJ45-'CS Rates'!AJ45)</f>
        <v>0</v>
      </c>
      <c r="AK45" s="12">
        <f>kWh!AK45*('Elec Rates'!AK45-'CS Rates'!AK45)</f>
        <v>0</v>
      </c>
      <c r="AL45" s="12">
        <f>kWh!AL45*('Elec Rates'!AL45-'CS Rates'!AL45)</f>
        <v>0</v>
      </c>
      <c r="AM45" s="12">
        <f>kWh!AM45*('Elec Rates'!AM45-'CS Rates'!AM45)</f>
        <v>0</v>
      </c>
      <c r="AN45" s="12">
        <f>kWh!AN45*('Elec Rates'!AN45-'CS Rates'!AN45)</f>
        <v>0</v>
      </c>
      <c r="AO45" s="12">
        <f>kWh!AO45*('Elec Rates'!AO45-'CS Rates'!AO45)</f>
        <v>0</v>
      </c>
      <c r="AP45" s="12">
        <f>kWh!AP45*('Elec Rates'!AP45-'CS Rates'!AP45)</f>
        <v>0</v>
      </c>
      <c r="AQ45" s="12">
        <f t="shared" si="0"/>
        <v>3311.9699000000001</v>
      </c>
    </row>
    <row r="46" spans="1:43" x14ac:dyDescent="0.3">
      <c r="A46" s="4">
        <v>45597</v>
      </c>
      <c r="B46" s="12">
        <f>kWh!B46*('Elec Rates'!B46-'CS Rates'!B46)</f>
        <v>191.44440000000003</v>
      </c>
      <c r="C46" s="12">
        <f>kWh!C46*('Elec Rates'!C46-'CS Rates'!C46)</f>
        <v>172.08600000000001</v>
      </c>
      <c r="D46" s="12">
        <f>kWh!D46*('Elec Rates'!D46-'CS Rates'!D46)</f>
        <v>232.0164</v>
      </c>
      <c r="E46" s="12">
        <f>kWh!E46*('Elec Rates'!E46-'CS Rates'!E46)</f>
        <v>351.27120000000002</v>
      </c>
      <c r="F46" s="12">
        <f>kWh!F46*('Elec Rates'!F46-'CS Rates'!F46)</f>
        <v>339.74790000000002</v>
      </c>
      <c r="G46" s="12">
        <f>kWh!G46*('Elec Rates'!G46-'CS Rates'!G46)</f>
        <v>77.830200000000019</v>
      </c>
      <c r="H46" s="12">
        <f>kWh!H46*('Elec Rates'!H46-'CS Rates'!H46)</f>
        <v>475.66750000000002</v>
      </c>
      <c r="I46" s="12">
        <f>kWh!I46*('Elec Rates'!I46-'CS Rates'!I46)</f>
        <v>0</v>
      </c>
      <c r="J46" s="12">
        <f>kWh!J46*('Elec Rates'!J46-'CS Rates'!J46)</f>
        <v>0</v>
      </c>
      <c r="K46" s="12">
        <f>kWh!K46*('Elec Rates'!K46-'CS Rates'!K46)</f>
        <v>0</v>
      </c>
      <c r="L46" s="12">
        <f>kWh!L46*('Elec Rates'!L46-'CS Rates'!L46)</f>
        <v>0</v>
      </c>
      <c r="M46" s="12">
        <f>kWh!M46*('Elec Rates'!M46-'CS Rates'!M46)</f>
        <v>0</v>
      </c>
      <c r="N46" s="12">
        <f>kWh!N46*('Elec Rates'!N46-'CS Rates'!N46)</f>
        <v>0</v>
      </c>
      <c r="O46" s="12">
        <f>kWh!O46*('Elec Rates'!O46-'CS Rates'!O46)</f>
        <v>0</v>
      </c>
      <c r="P46" s="12">
        <f>kWh!P46*('Elec Rates'!P46-'CS Rates'!P46)</f>
        <v>0</v>
      </c>
      <c r="Q46" s="12">
        <f>kWh!Q46*('Elec Rates'!Q46-'CS Rates'!Q46)</f>
        <v>0</v>
      </c>
      <c r="R46" s="12">
        <f>kWh!R46*('Elec Rates'!R46-'CS Rates'!R46)</f>
        <v>0</v>
      </c>
      <c r="S46" s="12">
        <f>kWh!S46*('Elec Rates'!S46-'CS Rates'!S46)</f>
        <v>0</v>
      </c>
      <c r="T46" s="12">
        <f>kWh!T46*('Elec Rates'!T46-'CS Rates'!T46)</f>
        <v>0</v>
      </c>
      <c r="U46" s="12">
        <f>kWh!U46*('Elec Rates'!U46-'CS Rates'!U46)</f>
        <v>0</v>
      </c>
      <c r="V46" s="12">
        <f>kWh!V46*('Elec Rates'!V46-'CS Rates'!V46)</f>
        <v>0</v>
      </c>
      <c r="W46" s="12">
        <f>kWh!W46*('Elec Rates'!W46-'CS Rates'!W46)</f>
        <v>0</v>
      </c>
      <c r="X46" s="12">
        <f>kWh!X46*('Elec Rates'!X46-'CS Rates'!X46)</f>
        <v>0</v>
      </c>
      <c r="Y46" s="12">
        <f>kWh!Y46*('Elec Rates'!Y46-'CS Rates'!Y46)</f>
        <v>0</v>
      </c>
      <c r="Z46" s="12">
        <f>kWh!Z46*('Elec Rates'!Z46-'CS Rates'!Z46)</f>
        <v>0</v>
      </c>
      <c r="AA46" s="12">
        <f>kWh!AA46*('Elec Rates'!AA46-'CS Rates'!AA46)</f>
        <v>0</v>
      </c>
      <c r="AB46" s="12">
        <f>kWh!AB46*('Elec Rates'!AB46-'CS Rates'!AB46)</f>
        <v>0</v>
      </c>
      <c r="AC46" s="12">
        <f>kWh!AC46*('Elec Rates'!AC46-'CS Rates'!AC46)</f>
        <v>0</v>
      </c>
      <c r="AD46" s="12">
        <f>kWh!AD46*('Elec Rates'!AD46-'CS Rates'!AD46)</f>
        <v>0</v>
      </c>
      <c r="AE46" s="12">
        <f>kWh!AE46*('Elec Rates'!AE46-'CS Rates'!AE46)</f>
        <v>0</v>
      </c>
      <c r="AF46" s="12">
        <f>kWh!AF46*('Elec Rates'!AF46-'CS Rates'!AF46)</f>
        <v>0</v>
      </c>
      <c r="AG46" s="12">
        <f>kWh!AG46*('Elec Rates'!AG46-'CS Rates'!AG46)</f>
        <v>0</v>
      </c>
      <c r="AH46" s="12">
        <f>kWh!AH46*('Elec Rates'!AH46-'CS Rates'!AH46)</f>
        <v>0</v>
      </c>
      <c r="AI46" s="12">
        <f>kWh!AI46*('Elec Rates'!AI46-'CS Rates'!AI46)</f>
        <v>0</v>
      </c>
      <c r="AJ46" s="12">
        <f>kWh!AJ46*('Elec Rates'!AJ46-'CS Rates'!AJ46)</f>
        <v>0</v>
      </c>
      <c r="AK46" s="12">
        <f>kWh!AK46*('Elec Rates'!AK46-'CS Rates'!AK46)</f>
        <v>0</v>
      </c>
      <c r="AL46" s="12">
        <f>kWh!AL46*('Elec Rates'!AL46-'CS Rates'!AL46)</f>
        <v>0</v>
      </c>
      <c r="AM46" s="12">
        <f>kWh!AM46*('Elec Rates'!AM46-'CS Rates'!AM46)</f>
        <v>0</v>
      </c>
      <c r="AN46" s="12">
        <f>kWh!AN46*('Elec Rates'!AN46-'CS Rates'!AN46)</f>
        <v>0</v>
      </c>
      <c r="AO46" s="12">
        <f>kWh!AO46*('Elec Rates'!AO46-'CS Rates'!AO46)</f>
        <v>0</v>
      </c>
      <c r="AP46" s="12">
        <f>kWh!AP46*('Elec Rates'!AP46-'CS Rates'!AP46)</f>
        <v>0</v>
      </c>
      <c r="AQ46" s="12">
        <f t="shared" si="0"/>
        <v>1840.0636000000002</v>
      </c>
    </row>
    <row r="47" spans="1:43" x14ac:dyDescent="0.3">
      <c r="A47" s="4">
        <v>45627</v>
      </c>
      <c r="B47" s="12">
        <f>kWh!B47*('Elec Rates'!B47-'CS Rates'!B47)</f>
        <v>156.6208</v>
      </c>
      <c r="C47" s="12">
        <f>kWh!C47*('Elec Rates'!C47-'CS Rates'!C47)</f>
        <v>197.54680000000005</v>
      </c>
      <c r="D47" s="12">
        <f>kWh!D47*('Elec Rates'!D47-'CS Rates'!D47)</f>
        <v>346.66239999999993</v>
      </c>
      <c r="E47" s="12">
        <f>kWh!E47*('Elec Rates'!E47-'CS Rates'!E47)</f>
        <v>269.24799999999993</v>
      </c>
      <c r="F47" s="12">
        <f>kWh!F47*('Elec Rates'!F47-'CS Rates'!F47)</f>
        <v>275.45760000000001</v>
      </c>
      <c r="G47" s="12">
        <f>kWh!G47*('Elec Rates'!G47-'CS Rates'!G47)</f>
        <v>100.66239999999999</v>
      </c>
      <c r="H47" s="12">
        <f>kWh!H47*('Elec Rates'!H47-'CS Rates'!H47)</f>
        <v>543.64700000000005</v>
      </c>
      <c r="I47" s="12">
        <f>kWh!I47*('Elec Rates'!I47-'CS Rates'!I47)</f>
        <v>0</v>
      </c>
      <c r="J47" s="12">
        <f>kWh!J47*('Elec Rates'!J47-'CS Rates'!J47)</f>
        <v>0</v>
      </c>
      <c r="K47" s="12">
        <f>kWh!K47*('Elec Rates'!K47-'CS Rates'!K47)</f>
        <v>0</v>
      </c>
      <c r="L47" s="12">
        <f>kWh!L47*('Elec Rates'!L47-'CS Rates'!L47)</f>
        <v>0</v>
      </c>
      <c r="M47" s="12">
        <f>kWh!M47*('Elec Rates'!M47-'CS Rates'!M47)</f>
        <v>0</v>
      </c>
      <c r="N47" s="12">
        <f>kWh!N47*('Elec Rates'!N47-'CS Rates'!N47)</f>
        <v>0</v>
      </c>
      <c r="O47" s="12">
        <f>kWh!O47*('Elec Rates'!O47-'CS Rates'!O47)</f>
        <v>0</v>
      </c>
      <c r="P47" s="12">
        <f>kWh!P47*('Elec Rates'!P47-'CS Rates'!P47)</f>
        <v>0</v>
      </c>
      <c r="Q47" s="12">
        <f>kWh!Q47*('Elec Rates'!Q47-'CS Rates'!Q47)</f>
        <v>0</v>
      </c>
      <c r="R47" s="12">
        <f>kWh!R47*('Elec Rates'!R47-'CS Rates'!R47)</f>
        <v>0</v>
      </c>
      <c r="S47" s="12">
        <f>kWh!S47*('Elec Rates'!S47-'CS Rates'!S47)</f>
        <v>0</v>
      </c>
      <c r="T47" s="12">
        <f>kWh!T47*('Elec Rates'!T47-'CS Rates'!T47)</f>
        <v>0</v>
      </c>
      <c r="U47" s="12">
        <f>kWh!U47*('Elec Rates'!U47-'CS Rates'!U47)</f>
        <v>0</v>
      </c>
      <c r="V47" s="12">
        <f>kWh!V47*('Elec Rates'!V47-'CS Rates'!V47)</f>
        <v>0</v>
      </c>
      <c r="W47" s="12">
        <f>kWh!W47*('Elec Rates'!W47-'CS Rates'!W47)</f>
        <v>0</v>
      </c>
      <c r="X47" s="12">
        <f>kWh!X47*('Elec Rates'!X47-'CS Rates'!X47)</f>
        <v>0</v>
      </c>
      <c r="Y47" s="12">
        <f>kWh!Y47*('Elec Rates'!Y47-'CS Rates'!Y47)</f>
        <v>0</v>
      </c>
      <c r="Z47" s="12">
        <f>kWh!Z47*('Elec Rates'!Z47-'CS Rates'!Z47)</f>
        <v>0</v>
      </c>
      <c r="AA47" s="12">
        <f>kWh!AA47*('Elec Rates'!AA47-'CS Rates'!AA47)</f>
        <v>0</v>
      </c>
      <c r="AB47" s="12">
        <f>kWh!AB47*('Elec Rates'!AB47-'CS Rates'!AB47)</f>
        <v>0</v>
      </c>
      <c r="AC47" s="12">
        <f>kWh!AC47*('Elec Rates'!AC47-'CS Rates'!AC47)</f>
        <v>0</v>
      </c>
      <c r="AD47" s="12">
        <f>kWh!AD47*('Elec Rates'!AD47-'CS Rates'!AD47)</f>
        <v>0</v>
      </c>
      <c r="AE47" s="12">
        <f>kWh!AE47*('Elec Rates'!AE47-'CS Rates'!AE47)</f>
        <v>0</v>
      </c>
      <c r="AF47" s="12">
        <f>kWh!AF47*('Elec Rates'!AF47-'CS Rates'!AF47)</f>
        <v>0</v>
      </c>
      <c r="AG47" s="12">
        <f>kWh!AG47*('Elec Rates'!AG47-'CS Rates'!AG47)</f>
        <v>0</v>
      </c>
      <c r="AH47" s="12">
        <f>kWh!AH47*('Elec Rates'!AH47-'CS Rates'!AH47)</f>
        <v>0</v>
      </c>
      <c r="AI47" s="12">
        <f>kWh!AI47*('Elec Rates'!AI47-'CS Rates'!AI47)</f>
        <v>0</v>
      </c>
      <c r="AJ47" s="12">
        <f>kWh!AJ47*('Elec Rates'!AJ47-'CS Rates'!AJ47)</f>
        <v>0</v>
      </c>
      <c r="AK47" s="12">
        <f>kWh!AK47*('Elec Rates'!AK47-'CS Rates'!AK47)</f>
        <v>0</v>
      </c>
      <c r="AL47" s="12">
        <f>kWh!AL47*('Elec Rates'!AL47-'CS Rates'!AL47)</f>
        <v>0</v>
      </c>
      <c r="AM47" s="12">
        <f>kWh!AM47*('Elec Rates'!AM47-'CS Rates'!AM47)</f>
        <v>0</v>
      </c>
      <c r="AN47" s="12">
        <f>kWh!AN47*('Elec Rates'!AN47-'CS Rates'!AN47)</f>
        <v>0</v>
      </c>
      <c r="AO47" s="12">
        <f>kWh!AO47*('Elec Rates'!AO47-'CS Rates'!AO47)</f>
        <v>0</v>
      </c>
      <c r="AP47" s="12">
        <f>kWh!AP47*('Elec Rates'!AP47-'CS Rates'!AP47)</f>
        <v>0</v>
      </c>
      <c r="AQ47" s="12">
        <f t="shared" si="0"/>
        <v>1889.8449999999998</v>
      </c>
    </row>
    <row r="48" spans="1:43" x14ac:dyDescent="0.3">
      <c r="A48" s="4">
        <v>45658</v>
      </c>
      <c r="B48" s="12">
        <f>kWh!B48*('Elec Rates'!B48-'CS Rates'!B48)</f>
        <v>177.08160000000001</v>
      </c>
      <c r="C48" s="12">
        <f>kWh!C48*('Elec Rates'!C48-'CS Rates'!C48)</f>
        <v>202.66160000000002</v>
      </c>
      <c r="D48" s="12">
        <f>kWh!D48*('Elec Rates'!D48-'CS Rates'!D48)</f>
        <v>353.98819999999995</v>
      </c>
      <c r="E48" s="12">
        <f>kWh!E48*('Elec Rates'!E48-'CS Rates'!E48)</f>
        <v>310.02639999999997</v>
      </c>
      <c r="F48" s="12">
        <f>kWh!F48*('Elec Rates'!F48-'CS Rates'!F48)</f>
        <v>225.90720000000002</v>
      </c>
      <c r="G48" s="12">
        <f>kWh!G48*('Elec Rates'!G48-'CS Rates'!G48)</f>
        <v>97.719999999999985</v>
      </c>
      <c r="H48" s="12">
        <f>kWh!H48*('Elec Rates'!H48-'CS Rates'!H48)</f>
        <v>657.40780000000018</v>
      </c>
      <c r="I48" s="12">
        <f>kWh!I48*('Elec Rates'!I48-'CS Rates'!I48)</f>
        <v>0</v>
      </c>
      <c r="J48" s="12">
        <f>kWh!J48*('Elec Rates'!J48-'CS Rates'!J48)</f>
        <v>0</v>
      </c>
      <c r="K48" s="12">
        <f>kWh!K48*('Elec Rates'!K48-'CS Rates'!K48)</f>
        <v>0</v>
      </c>
      <c r="L48" s="12">
        <f>kWh!L48*('Elec Rates'!L48-'CS Rates'!L48)</f>
        <v>0</v>
      </c>
      <c r="M48" s="12">
        <f>kWh!M48*('Elec Rates'!M48-'CS Rates'!M48)</f>
        <v>0</v>
      </c>
      <c r="N48" s="12">
        <f>kWh!N48*('Elec Rates'!N48-'CS Rates'!N48)</f>
        <v>0</v>
      </c>
      <c r="O48" s="12">
        <f>kWh!O48*('Elec Rates'!O48-'CS Rates'!O48)</f>
        <v>0</v>
      </c>
      <c r="P48" s="12">
        <f>kWh!P48*('Elec Rates'!P48-'CS Rates'!P48)</f>
        <v>0</v>
      </c>
      <c r="Q48" s="12">
        <f>kWh!Q48*('Elec Rates'!Q48-'CS Rates'!Q48)</f>
        <v>0</v>
      </c>
      <c r="R48" s="12">
        <f>kWh!R48*('Elec Rates'!R48-'CS Rates'!R48)</f>
        <v>0</v>
      </c>
      <c r="S48" s="12">
        <f>kWh!S48*('Elec Rates'!S48-'CS Rates'!S48)</f>
        <v>0</v>
      </c>
      <c r="T48" s="12">
        <f>kWh!T48*('Elec Rates'!T48-'CS Rates'!T48)</f>
        <v>0</v>
      </c>
      <c r="U48" s="12">
        <f>kWh!U48*('Elec Rates'!U48-'CS Rates'!U48)</f>
        <v>0</v>
      </c>
      <c r="V48" s="12">
        <f>kWh!V48*('Elec Rates'!V48-'CS Rates'!V48)</f>
        <v>0</v>
      </c>
      <c r="W48" s="12">
        <f>kWh!W48*('Elec Rates'!W48-'CS Rates'!W48)</f>
        <v>0</v>
      </c>
      <c r="X48" s="12">
        <f>kWh!X48*('Elec Rates'!X48-'CS Rates'!X48)</f>
        <v>0</v>
      </c>
      <c r="Y48" s="12">
        <f>kWh!Y48*('Elec Rates'!Y48-'CS Rates'!Y48)</f>
        <v>0</v>
      </c>
      <c r="Z48" s="12">
        <f>kWh!Z48*('Elec Rates'!Z48-'CS Rates'!Z48)</f>
        <v>0</v>
      </c>
      <c r="AA48" s="12">
        <f>kWh!AA48*('Elec Rates'!AA48-'CS Rates'!AA48)</f>
        <v>0</v>
      </c>
      <c r="AB48" s="12">
        <f>kWh!AB48*('Elec Rates'!AB48-'CS Rates'!AB48)</f>
        <v>0</v>
      </c>
      <c r="AC48" s="12">
        <f>kWh!AC48*('Elec Rates'!AC48-'CS Rates'!AC48)</f>
        <v>0</v>
      </c>
      <c r="AD48" s="12">
        <f>kWh!AD48*('Elec Rates'!AD48-'CS Rates'!AD48)</f>
        <v>0</v>
      </c>
      <c r="AE48" s="12">
        <f>kWh!AE48*('Elec Rates'!AE48-'CS Rates'!AE48)</f>
        <v>0</v>
      </c>
      <c r="AF48" s="12">
        <f>kWh!AF48*('Elec Rates'!AF48-'CS Rates'!AF48)</f>
        <v>0</v>
      </c>
      <c r="AG48" s="12">
        <f>kWh!AG48*('Elec Rates'!AG48-'CS Rates'!AG48)</f>
        <v>0</v>
      </c>
      <c r="AH48" s="12">
        <f>kWh!AH48*('Elec Rates'!AH48-'CS Rates'!AH48)</f>
        <v>0</v>
      </c>
      <c r="AI48" s="12">
        <f>kWh!AI48*('Elec Rates'!AI48-'CS Rates'!AI48)</f>
        <v>0</v>
      </c>
      <c r="AJ48" s="12">
        <f>kWh!AJ48*('Elec Rates'!AJ48-'CS Rates'!AJ48)</f>
        <v>0</v>
      </c>
      <c r="AK48" s="12">
        <f>kWh!AK48*('Elec Rates'!AK48-'CS Rates'!AK48)</f>
        <v>0</v>
      </c>
      <c r="AL48" s="12">
        <f>kWh!AL48*('Elec Rates'!AL48-'CS Rates'!AL48)</f>
        <v>0</v>
      </c>
      <c r="AM48" s="12">
        <f>kWh!AM48*('Elec Rates'!AM48-'CS Rates'!AM48)</f>
        <v>0</v>
      </c>
      <c r="AN48" s="12">
        <f>kWh!AN48*('Elec Rates'!AN48-'CS Rates'!AN48)</f>
        <v>0</v>
      </c>
      <c r="AO48" s="12">
        <f>kWh!AO48*('Elec Rates'!AO48-'CS Rates'!AO48)</f>
        <v>0</v>
      </c>
      <c r="AP48" s="12">
        <f>kWh!AP48*('Elec Rates'!AP48-'CS Rates'!AP48)</f>
        <v>0</v>
      </c>
      <c r="AQ48" s="12">
        <f t="shared" si="0"/>
        <v>2024.7928000000002</v>
      </c>
    </row>
    <row r="49" spans="1:43" x14ac:dyDescent="0.3">
      <c r="A49" s="4">
        <v>45689</v>
      </c>
      <c r="B49" s="12">
        <f>kWh!B49*('Elec Rates'!B49-'CS Rates'!B49)</f>
        <v>292.56479999999999</v>
      </c>
      <c r="C49" s="12">
        <f>kWh!C49*('Elec Rates'!C49-'CS Rates'!C49)</f>
        <v>281.91599999999994</v>
      </c>
      <c r="D49" s="12">
        <f>kWh!D49*('Elec Rates'!D49-'CS Rates'!D49)</f>
        <v>422.15039999999993</v>
      </c>
      <c r="E49" s="12">
        <f>kWh!E49*('Elec Rates'!E49-'CS Rates'!E49)</f>
        <v>414.14760000000001</v>
      </c>
      <c r="F49" s="12">
        <f>kWh!F49*('Elec Rates'!F49-'CS Rates'!F49)</f>
        <v>417.80959999999993</v>
      </c>
      <c r="G49" s="12">
        <f>kWh!G49*('Elec Rates'!G49-'CS Rates'!G49)</f>
        <v>114.80559999999998</v>
      </c>
      <c r="H49" s="12">
        <f>kWh!H49*('Elec Rates'!H49-'CS Rates'!H49)</f>
        <v>700.53060000000016</v>
      </c>
      <c r="I49" s="12">
        <f>kWh!I49*('Elec Rates'!I49-'CS Rates'!I49)</f>
        <v>0</v>
      </c>
      <c r="J49" s="12">
        <f>kWh!J49*('Elec Rates'!J49-'CS Rates'!J49)</f>
        <v>0</v>
      </c>
      <c r="K49" s="12">
        <f>kWh!K49*('Elec Rates'!K49-'CS Rates'!K49)</f>
        <v>0</v>
      </c>
      <c r="L49" s="12">
        <f>kWh!L49*('Elec Rates'!L49-'CS Rates'!L49)</f>
        <v>0</v>
      </c>
      <c r="M49" s="12">
        <f>kWh!M49*('Elec Rates'!M49-'CS Rates'!M49)</f>
        <v>0</v>
      </c>
      <c r="N49" s="12">
        <f>kWh!N49*('Elec Rates'!N49-'CS Rates'!N49)</f>
        <v>0</v>
      </c>
      <c r="O49" s="12">
        <f>kWh!O49*('Elec Rates'!O49-'CS Rates'!O49)</f>
        <v>0</v>
      </c>
      <c r="P49" s="12">
        <f>kWh!P49*('Elec Rates'!P49-'CS Rates'!P49)</f>
        <v>0</v>
      </c>
      <c r="Q49" s="12">
        <f>kWh!Q49*('Elec Rates'!Q49-'CS Rates'!Q49)</f>
        <v>0</v>
      </c>
      <c r="R49" s="12">
        <f>kWh!R49*('Elec Rates'!R49-'CS Rates'!R49)</f>
        <v>0</v>
      </c>
      <c r="S49" s="12">
        <f>kWh!S49*('Elec Rates'!S49-'CS Rates'!S49)</f>
        <v>0</v>
      </c>
      <c r="T49" s="12">
        <f>kWh!T49*('Elec Rates'!T49-'CS Rates'!T49)</f>
        <v>0</v>
      </c>
      <c r="U49" s="12">
        <f>kWh!U49*('Elec Rates'!U49-'CS Rates'!U49)</f>
        <v>0</v>
      </c>
      <c r="V49" s="12">
        <f>kWh!V49*('Elec Rates'!V49-'CS Rates'!V49)</f>
        <v>0</v>
      </c>
      <c r="W49" s="12">
        <f>kWh!W49*('Elec Rates'!W49-'CS Rates'!W49)</f>
        <v>0</v>
      </c>
      <c r="X49" s="12">
        <f>kWh!X49*('Elec Rates'!X49-'CS Rates'!X49)</f>
        <v>0</v>
      </c>
      <c r="Y49" s="12">
        <f>kWh!Y49*('Elec Rates'!Y49-'CS Rates'!Y49)</f>
        <v>0</v>
      </c>
      <c r="Z49" s="12">
        <f>kWh!Z49*('Elec Rates'!Z49-'CS Rates'!Z49)</f>
        <v>0</v>
      </c>
      <c r="AA49" s="12">
        <f>kWh!AA49*('Elec Rates'!AA49-'CS Rates'!AA49)</f>
        <v>0</v>
      </c>
      <c r="AB49" s="12">
        <f>kWh!AB49*('Elec Rates'!AB49-'CS Rates'!AB49)</f>
        <v>0</v>
      </c>
      <c r="AC49" s="12">
        <f>kWh!AC49*('Elec Rates'!AC49-'CS Rates'!AC49)</f>
        <v>0</v>
      </c>
      <c r="AD49" s="12">
        <f>kWh!AD49*('Elec Rates'!AD49-'CS Rates'!AD49)</f>
        <v>0</v>
      </c>
      <c r="AE49" s="12">
        <f>kWh!AE49*('Elec Rates'!AE49-'CS Rates'!AE49)</f>
        <v>0</v>
      </c>
      <c r="AF49" s="12">
        <f>kWh!AF49*('Elec Rates'!AF49-'CS Rates'!AF49)</f>
        <v>0</v>
      </c>
      <c r="AG49" s="12">
        <f>kWh!AG49*('Elec Rates'!AG49-'CS Rates'!AG49)</f>
        <v>0</v>
      </c>
      <c r="AH49" s="12">
        <f>kWh!AH49*('Elec Rates'!AH49-'CS Rates'!AH49)</f>
        <v>0</v>
      </c>
      <c r="AI49" s="12">
        <f>kWh!AI49*('Elec Rates'!AI49-'CS Rates'!AI49)</f>
        <v>0</v>
      </c>
      <c r="AJ49" s="12">
        <f>kWh!AJ49*('Elec Rates'!AJ49-'CS Rates'!AJ49)</f>
        <v>0</v>
      </c>
      <c r="AK49" s="12">
        <f>kWh!AK49*('Elec Rates'!AK49-'CS Rates'!AK49)</f>
        <v>0</v>
      </c>
      <c r="AL49" s="12">
        <f>kWh!AL49*('Elec Rates'!AL49-'CS Rates'!AL49)</f>
        <v>0</v>
      </c>
      <c r="AM49" s="12">
        <f>kWh!AM49*('Elec Rates'!AM49-'CS Rates'!AM49)</f>
        <v>0</v>
      </c>
      <c r="AN49" s="12">
        <f>kWh!AN49*('Elec Rates'!AN49-'CS Rates'!AN49)</f>
        <v>0</v>
      </c>
      <c r="AO49" s="12">
        <f>kWh!AO49*('Elec Rates'!AO49-'CS Rates'!AO49)</f>
        <v>0</v>
      </c>
      <c r="AP49" s="12">
        <f>kWh!AP49*('Elec Rates'!AP49-'CS Rates'!AP49)</f>
        <v>0</v>
      </c>
      <c r="AQ49" s="12">
        <f t="shared" si="0"/>
        <v>2643.9245999999998</v>
      </c>
    </row>
    <row r="50" spans="1:43" x14ac:dyDescent="0.3">
      <c r="A50" s="4">
        <v>45717</v>
      </c>
      <c r="B50" s="12">
        <f>kWh!B50*('Elec Rates'!B50-'CS Rates'!B50)</f>
        <v>443.2672</v>
      </c>
      <c r="C50" s="12">
        <f>kWh!C50*('Elec Rates'!C50-'CS Rates'!C50)</f>
        <v>436.58099999999996</v>
      </c>
      <c r="D50" s="12">
        <f>kWh!D50*('Elec Rates'!D50-'CS Rates'!D50)</f>
        <v>557.32800000000009</v>
      </c>
      <c r="E50" s="12">
        <f>kWh!E50*('Elec Rates'!E50-'CS Rates'!E50)</f>
        <v>624.70240000000001</v>
      </c>
      <c r="F50" s="12">
        <f>kWh!F50*('Elec Rates'!F50-'CS Rates'!F50)</f>
        <v>628.17719999999997</v>
      </c>
      <c r="G50" s="12">
        <f>kWh!G50*('Elec Rates'!G50-'CS Rates'!G50)</f>
        <v>162.48599999999996</v>
      </c>
      <c r="H50" s="12">
        <f>kWh!H50*('Elec Rates'!H50-'CS Rates'!H50)</f>
        <v>1072.3167999999998</v>
      </c>
      <c r="I50" s="12">
        <f>kWh!I50*('Elec Rates'!I50-'CS Rates'!I50)</f>
        <v>0</v>
      </c>
      <c r="J50" s="12">
        <f>kWh!J50*('Elec Rates'!J50-'CS Rates'!J50)</f>
        <v>0</v>
      </c>
      <c r="K50" s="12">
        <f>kWh!K50*('Elec Rates'!K50-'CS Rates'!K50)</f>
        <v>0</v>
      </c>
      <c r="L50" s="12">
        <f>kWh!L50*('Elec Rates'!L50-'CS Rates'!L50)</f>
        <v>0</v>
      </c>
      <c r="M50" s="12">
        <f>kWh!M50*('Elec Rates'!M50-'CS Rates'!M50)</f>
        <v>0</v>
      </c>
      <c r="N50" s="12">
        <f>kWh!N50*('Elec Rates'!N50-'CS Rates'!N50)</f>
        <v>0</v>
      </c>
      <c r="O50" s="12">
        <f>kWh!O50*('Elec Rates'!O50-'CS Rates'!O50)</f>
        <v>0</v>
      </c>
      <c r="P50" s="12">
        <f>kWh!P50*('Elec Rates'!P50-'CS Rates'!P50)</f>
        <v>0</v>
      </c>
      <c r="Q50" s="12">
        <f>kWh!Q50*('Elec Rates'!Q50-'CS Rates'!Q50)</f>
        <v>0</v>
      </c>
      <c r="R50" s="12">
        <f>kWh!R50*('Elec Rates'!R50-'CS Rates'!R50)</f>
        <v>0</v>
      </c>
      <c r="S50" s="12">
        <f>kWh!S50*('Elec Rates'!S50-'CS Rates'!S50)</f>
        <v>0</v>
      </c>
      <c r="T50" s="12">
        <f>kWh!T50*('Elec Rates'!T50-'CS Rates'!T50)</f>
        <v>0</v>
      </c>
      <c r="U50" s="12">
        <f>kWh!U50*('Elec Rates'!U50-'CS Rates'!U50)</f>
        <v>0</v>
      </c>
      <c r="V50" s="12">
        <f>kWh!V50*('Elec Rates'!V50-'CS Rates'!V50)</f>
        <v>0</v>
      </c>
      <c r="W50" s="12">
        <f>kWh!W50*('Elec Rates'!W50-'CS Rates'!W50)</f>
        <v>0</v>
      </c>
      <c r="X50" s="12">
        <f>kWh!X50*('Elec Rates'!X50-'CS Rates'!X50)</f>
        <v>0</v>
      </c>
      <c r="Y50" s="12">
        <f>kWh!Y50*('Elec Rates'!Y50-'CS Rates'!Y50)</f>
        <v>0</v>
      </c>
      <c r="Z50" s="12">
        <f>kWh!Z50*('Elec Rates'!Z50-'CS Rates'!Z50)</f>
        <v>0</v>
      </c>
      <c r="AA50" s="12">
        <f>kWh!AA50*('Elec Rates'!AA50-'CS Rates'!AA50)</f>
        <v>0</v>
      </c>
      <c r="AB50" s="12">
        <f>kWh!AB50*('Elec Rates'!AB50-'CS Rates'!AB50)</f>
        <v>0</v>
      </c>
      <c r="AC50" s="12">
        <f>kWh!AC50*('Elec Rates'!AC50-'CS Rates'!AC50)</f>
        <v>0</v>
      </c>
      <c r="AD50" s="12">
        <f>kWh!AD50*('Elec Rates'!AD50-'CS Rates'!AD50)</f>
        <v>0</v>
      </c>
      <c r="AE50" s="12">
        <f>kWh!AE50*('Elec Rates'!AE50-'CS Rates'!AE50)</f>
        <v>0</v>
      </c>
      <c r="AF50" s="12">
        <f>kWh!AF50*('Elec Rates'!AF50-'CS Rates'!AF50)</f>
        <v>0</v>
      </c>
      <c r="AG50" s="12">
        <f>kWh!AG50*('Elec Rates'!AG50-'CS Rates'!AG50)</f>
        <v>0</v>
      </c>
      <c r="AH50" s="12">
        <f>kWh!AH50*('Elec Rates'!AH50-'CS Rates'!AH50)</f>
        <v>0</v>
      </c>
      <c r="AI50" s="12">
        <f>kWh!AI50*('Elec Rates'!AI50-'CS Rates'!AI50)</f>
        <v>0</v>
      </c>
      <c r="AJ50" s="12">
        <f>kWh!AJ50*('Elec Rates'!AJ50-'CS Rates'!AJ50)</f>
        <v>0</v>
      </c>
      <c r="AK50" s="12">
        <f>kWh!AK50*('Elec Rates'!AK50-'CS Rates'!AK50)</f>
        <v>0</v>
      </c>
      <c r="AL50" s="12">
        <f>kWh!AL50*('Elec Rates'!AL50-'CS Rates'!AL50)</f>
        <v>0</v>
      </c>
      <c r="AM50" s="12">
        <f>kWh!AM50*('Elec Rates'!AM50-'CS Rates'!AM50)</f>
        <v>0</v>
      </c>
      <c r="AN50" s="12">
        <f>kWh!AN50*('Elec Rates'!AN50-'CS Rates'!AN50)</f>
        <v>0</v>
      </c>
      <c r="AO50" s="12">
        <f>kWh!AO50*('Elec Rates'!AO50-'CS Rates'!AO50)</f>
        <v>0</v>
      </c>
      <c r="AP50" s="12">
        <f>kWh!AP50*('Elec Rates'!AP50-'CS Rates'!AP50)</f>
        <v>0</v>
      </c>
      <c r="AQ50" s="12">
        <f t="shared" si="0"/>
        <v>3924.8585999999996</v>
      </c>
    </row>
    <row r="51" spans="1:43" x14ac:dyDescent="0.3">
      <c r="A51" s="4">
        <v>45748</v>
      </c>
      <c r="B51" s="12">
        <f>kWh!B51*('Elec Rates'!B51-'CS Rates'!B51)</f>
        <v>426.37799999999999</v>
      </c>
      <c r="C51" s="12">
        <f>kWh!C51*('Elec Rates'!C51-'CS Rates'!C51)</f>
        <v>349.46319999999986</v>
      </c>
      <c r="D51" s="12">
        <f>kWh!D51*('Elec Rates'!D51-'CS Rates'!D51)</f>
        <v>576.47479999999996</v>
      </c>
      <c r="E51" s="12">
        <f>kWh!E51*('Elec Rates'!E51-'CS Rates'!E51)</f>
        <v>759.69899999999984</v>
      </c>
      <c r="F51" s="12">
        <f>kWh!F51*('Elec Rates'!F51-'CS Rates'!F51)</f>
        <v>692.17199999999991</v>
      </c>
      <c r="G51" s="12">
        <f>kWh!G51*('Elec Rates'!G51-'CS Rates'!G51)</f>
        <v>144.30300000000003</v>
      </c>
      <c r="H51" s="12">
        <f>kWh!H51*('Elec Rates'!H51-'CS Rates'!H51)</f>
        <v>956.88360000000011</v>
      </c>
      <c r="I51" s="12">
        <f>kWh!I51*('Elec Rates'!I51-'CS Rates'!I51)</f>
        <v>0</v>
      </c>
      <c r="J51" s="12">
        <f>kWh!J51*('Elec Rates'!J51-'CS Rates'!J51)</f>
        <v>0</v>
      </c>
      <c r="K51" s="12">
        <f>kWh!K51*('Elec Rates'!K51-'CS Rates'!K51)</f>
        <v>0</v>
      </c>
      <c r="L51" s="12">
        <f>kWh!L51*('Elec Rates'!L51-'CS Rates'!L51)</f>
        <v>0</v>
      </c>
      <c r="M51" s="12">
        <f>kWh!M51*('Elec Rates'!M51-'CS Rates'!M51)</f>
        <v>0</v>
      </c>
      <c r="N51" s="12">
        <f>kWh!N51*('Elec Rates'!N51-'CS Rates'!N51)</f>
        <v>0</v>
      </c>
      <c r="O51" s="12">
        <f>kWh!O51*('Elec Rates'!O51-'CS Rates'!O51)</f>
        <v>0</v>
      </c>
      <c r="P51" s="12">
        <f>kWh!P51*('Elec Rates'!P51-'CS Rates'!P51)</f>
        <v>0</v>
      </c>
      <c r="Q51" s="12">
        <f>kWh!Q51*('Elec Rates'!Q51-'CS Rates'!Q51)</f>
        <v>0</v>
      </c>
      <c r="R51" s="12">
        <f>kWh!R51*('Elec Rates'!R51-'CS Rates'!R51)</f>
        <v>0</v>
      </c>
      <c r="S51" s="12">
        <f>kWh!S51*('Elec Rates'!S51-'CS Rates'!S51)</f>
        <v>0</v>
      </c>
      <c r="T51" s="12">
        <f>kWh!T51*('Elec Rates'!T51-'CS Rates'!T51)</f>
        <v>0</v>
      </c>
      <c r="U51" s="12">
        <f>kWh!U51*('Elec Rates'!U51-'CS Rates'!U51)</f>
        <v>0</v>
      </c>
      <c r="V51" s="12">
        <f>kWh!V51*('Elec Rates'!V51-'CS Rates'!V51)</f>
        <v>0</v>
      </c>
      <c r="W51" s="12">
        <f>kWh!W51*('Elec Rates'!W51-'CS Rates'!W51)</f>
        <v>0</v>
      </c>
      <c r="X51" s="12">
        <f>kWh!X51*('Elec Rates'!X51-'CS Rates'!X51)</f>
        <v>0</v>
      </c>
      <c r="Y51" s="12">
        <f>kWh!Y51*('Elec Rates'!Y51-'CS Rates'!Y51)</f>
        <v>0</v>
      </c>
      <c r="Z51" s="12">
        <f>kWh!Z51*('Elec Rates'!Z51-'CS Rates'!Z51)</f>
        <v>0</v>
      </c>
      <c r="AA51" s="12">
        <f>kWh!AA51*('Elec Rates'!AA51-'CS Rates'!AA51)</f>
        <v>0</v>
      </c>
      <c r="AB51" s="12">
        <f>kWh!AB51*('Elec Rates'!AB51-'CS Rates'!AB51)</f>
        <v>0</v>
      </c>
      <c r="AC51" s="12">
        <f>kWh!AC51*('Elec Rates'!AC51-'CS Rates'!AC51)</f>
        <v>0</v>
      </c>
      <c r="AD51" s="12">
        <f>kWh!AD51*('Elec Rates'!AD51-'CS Rates'!AD51)</f>
        <v>0</v>
      </c>
      <c r="AE51" s="12">
        <f>kWh!AE51*('Elec Rates'!AE51-'CS Rates'!AE51)</f>
        <v>0</v>
      </c>
      <c r="AF51" s="12">
        <f>kWh!AF51*('Elec Rates'!AF51-'CS Rates'!AF51)</f>
        <v>0</v>
      </c>
      <c r="AG51" s="12">
        <f>kWh!AG51*('Elec Rates'!AG51-'CS Rates'!AG51)</f>
        <v>0</v>
      </c>
      <c r="AH51" s="12">
        <f>kWh!AH51*('Elec Rates'!AH51-'CS Rates'!AH51)</f>
        <v>0</v>
      </c>
      <c r="AI51" s="12">
        <f>kWh!AI51*('Elec Rates'!AI51-'CS Rates'!AI51)</f>
        <v>0</v>
      </c>
      <c r="AJ51" s="12">
        <f>kWh!AJ51*('Elec Rates'!AJ51-'CS Rates'!AJ51)</f>
        <v>0</v>
      </c>
      <c r="AK51" s="12">
        <f>kWh!AK51*('Elec Rates'!AK51-'CS Rates'!AK51)</f>
        <v>0</v>
      </c>
      <c r="AL51" s="12">
        <f>kWh!AL51*('Elec Rates'!AL51-'CS Rates'!AL51)</f>
        <v>0</v>
      </c>
      <c r="AM51" s="12">
        <f>kWh!AM51*('Elec Rates'!AM51-'CS Rates'!AM51)</f>
        <v>0</v>
      </c>
      <c r="AN51" s="12">
        <f>kWh!AN51*('Elec Rates'!AN51-'CS Rates'!AN51)</f>
        <v>0</v>
      </c>
      <c r="AO51" s="12">
        <f>kWh!AO51*('Elec Rates'!AO51-'CS Rates'!AO51)</f>
        <v>0</v>
      </c>
      <c r="AP51" s="12">
        <f>kWh!AP51*('Elec Rates'!AP51-'CS Rates'!AP51)</f>
        <v>0</v>
      </c>
      <c r="AQ51" s="12">
        <f t="shared" si="0"/>
        <v>3905.3735999999994</v>
      </c>
    </row>
    <row r="52" spans="1:43" x14ac:dyDescent="0.3">
      <c r="A52" s="4">
        <v>45778</v>
      </c>
      <c r="B52" s="12">
        <f>kWh!B52*('Elec Rates'!B52-'CS Rates'!B52)</f>
        <v>371.28879999999992</v>
      </c>
      <c r="C52" s="12">
        <f>kWh!C52*('Elec Rates'!C52-'CS Rates'!C52)</f>
        <v>407.61750000000001</v>
      </c>
      <c r="D52" s="12">
        <f>kWh!D52*('Elec Rates'!D52-'CS Rates'!D52)</f>
        <v>559.05520000000001</v>
      </c>
      <c r="E52" s="12">
        <f>kWh!E52*('Elec Rates'!E52-'CS Rates'!E52)</f>
        <v>621.44880000000001</v>
      </c>
      <c r="F52" s="12">
        <f>kWh!F52*('Elec Rates'!F52-'CS Rates'!F52)</f>
        <v>677.48339999999996</v>
      </c>
      <c r="G52" s="12">
        <f>kWh!G52*('Elec Rates'!G52-'CS Rates'!G52)</f>
        <v>125.3276</v>
      </c>
      <c r="H52" s="12">
        <f>kWh!H52*('Elec Rates'!H52-'CS Rates'!H52)</f>
        <v>835.18720000000008</v>
      </c>
      <c r="I52" s="12">
        <f>kWh!I52*('Elec Rates'!I52-'CS Rates'!I52)</f>
        <v>3.0160000000000027</v>
      </c>
      <c r="J52" s="12">
        <f>kWh!J52*('Elec Rates'!J52-'CS Rates'!J52)</f>
        <v>25.258999999999997</v>
      </c>
      <c r="K52" s="12">
        <f>kWh!K52*('Elec Rates'!K52-'CS Rates'!K52)</f>
        <v>42.432000000000002</v>
      </c>
      <c r="L52" s="12">
        <f>kWh!L52*('Elec Rates'!L52-'CS Rates'!L52)</f>
        <v>112.97500000000004</v>
      </c>
      <c r="M52" s="12">
        <f>kWh!M52*('Elec Rates'!M52-'CS Rates'!M52)</f>
        <v>55.4</v>
      </c>
      <c r="N52" s="12">
        <f>kWh!N52*('Elec Rates'!N52-'CS Rates'!N52)</f>
        <v>0</v>
      </c>
      <c r="O52" s="12">
        <f>kWh!O52*('Elec Rates'!O52-'CS Rates'!O52)</f>
        <v>0</v>
      </c>
      <c r="P52" s="12">
        <f>kWh!P52*('Elec Rates'!P52-'CS Rates'!P52)</f>
        <v>0</v>
      </c>
      <c r="Q52" s="12">
        <f>kWh!Q52*('Elec Rates'!Q52-'CS Rates'!Q52)</f>
        <v>0</v>
      </c>
      <c r="R52" s="12">
        <f>kWh!R52*('Elec Rates'!R52-'CS Rates'!R52)</f>
        <v>0</v>
      </c>
      <c r="S52" s="12">
        <f>kWh!S52*('Elec Rates'!S52-'CS Rates'!S52)</f>
        <v>0</v>
      </c>
      <c r="T52" s="12">
        <f>kWh!T52*('Elec Rates'!T52-'CS Rates'!T52)</f>
        <v>0</v>
      </c>
      <c r="U52" s="12">
        <f>kWh!U52*('Elec Rates'!U52-'CS Rates'!U52)</f>
        <v>0</v>
      </c>
      <c r="V52" s="12">
        <f>kWh!V52*('Elec Rates'!V52-'CS Rates'!V52)</f>
        <v>0</v>
      </c>
      <c r="W52" s="12">
        <f>kWh!W52*('Elec Rates'!W52-'CS Rates'!W52)</f>
        <v>0</v>
      </c>
      <c r="X52" s="12">
        <f>kWh!X52*('Elec Rates'!X52-'CS Rates'!X52)</f>
        <v>0</v>
      </c>
      <c r="Y52" s="12">
        <f>kWh!Y52*('Elec Rates'!Y52-'CS Rates'!Y52)</f>
        <v>0</v>
      </c>
      <c r="Z52" s="12">
        <f>kWh!Z52*('Elec Rates'!Z52-'CS Rates'!Z52)</f>
        <v>0</v>
      </c>
      <c r="AA52" s="12">
        <f>kWh!AA52*('Elec Rates'!AA52-'CS Rates'!AA52)</f>
        <v>0</v>
      </c>
      <c r="AB52" s="12">
        <f>kWh!AB52*('Elec Rates'!AB52-'CS Rates'!AB52)</f>
        <v>0</v>
      </c>
      <c r="AC52" s="12">
        <f>kWh!AC52*('Elec Rates'!AC52-'CS Rates'!AC52)</f>
        <v>0</v>
      </c>
      <c r="AD52" s="12">
        <f>kWh!AD52*('Elec Rates'!AD52-'CS Rates'!AD52)</f>
        <v>0</v>
      </c>
      <c r="AE52" s="12">
        <f>kWh!AE52*('Elec Rates'!AE52-'CS Rates'!AE52)</f>
        <v>0</v>
      </c>
      <c r="AF52" s="12">
        <f>kWh!AF52*('Elec Rates'!AF52-'CS Rates'!AF52)</f>
        <v>0</v>
      </c>
      <c r="AG52" s="12">
        <f>kWh!AG52*('Elec Rates'!AG52-'CS Rates'!AG52)</f>
        <v>0</v>
      </c>
      <c r="AH52" s="12">
        <f>kWh!AH52*('Elec Rates'!AH52-'CS Rates'!AH52)</f>
        <v>0</v>
      </c>
      <c r="AI52" s="12">
        <f>kWh!AI52*('Elec Rates'!AI52-'CS Rates'!AI52)</f>
        <v>0</v>
      </c>
      <c r="AJ52" s="12">
        <f>kWh!AJ52*('Elec Rates'!AJ52-'CS Rates'!AJ52)</f>
        <v>0</v>
      </c>
      <c r="AK52" s="12">
        <f>kWh!AK52*('Elec Rates'!AK52-'CS Rates'!AK52)</f>
        <v>0</v>
      </c>
      <c r="AL52" s="12">
        <f>kWh!AL52*('Elec Rates'!AL52-'CS Rates'!AL52)</f>
        <v>0</v>
      </c>
      <c r="AM52" s="12">
        <f>kWh!AM52*('Elec Rates'!AM52-'CS Rates'!AM52)</f>
        <v>0</v>
      </c>
      <c r="AN52" s="12">
        <f>kWh!AN52*('Elec Rates'!AN52-'CS Rates'!AN52)</f>
        <v>0</v>
      </c>
      <c r="AO52" s="12">
        <f>kWh!AO52*('Elec Rates'!AO52-'CS Rates'!AO52)</f>
        <v>0</v>
      </c>
      <c r="AP52" s="12">
        <f>kWh!AP52*('Elec Rates'!AP52-'CS Rates'!AP52)</f>
        <v>0</v>
      </c>
      <c r="AQ52" s="12">
        <f t="shared" si="0"/>
        <v>3836.4905000000003</v>
      </c>
    </row>
    <row r="53" spans="1:43" x14ac:dyDescent="0.3">
      <c r="A53" s="4">
        <v>45809</v>
      </c>
      <c r="B53" s="12">
        <f>kWh!B53*('Elec Rates'!B53-'CS Rates'!B53)</f>
        <v>1092.4074000000001</v>
      </c>
      <c r="C53" s="12">
        <f>kWh!C53*('Elec Rates'!C53-'CS Rates'!C53)</f>
        <v>349.22079999999994</v>
      </c>
      <c r="D53" s="12">
        <f>kWh!D53*('Elec Rates'!D53-'CS Rates'!D53)</f>
        <v>1530.8484999999998</v>
      </c>
      <c r="E53" s="12">
        <f>kWh!E53*('Elec Rates'!E53-'CS Rates'!E53)</f>
        <v>1851.8388</v>
      </c>
      <c r="F53" s="12">
        <f>kWh!F53*('Elec Rates'!F53-'CS Rates'!F53)</f>
        <v>694.73699999999997</v>
      </c>
      <c r="G53" s="12">
        <f>kWh!G53*('Elec Rates'!G53-'CS Rates'!G53)</f>
        <v>342.44699999999995</v>
      </c>
      <c r="H53" s="12">
        <f>kWh!H53*('Elec Rates'!H53-'CS Rates'!H53)</f>
        <v>833.70780000000002</v>
      </c>
      <c r="I53" s="12">
        <f>kWh!I53*('Elec Rates'!I53-'CS Rates'!I53)</f>
        <v>-143.15799999999999</v>
      </c>
      <c r="J53" s="12">
        <f>kWh!J53*('Elec Rates'!J53-'CS Rates'!J53)</f>
        <v>414.96999999999986</v>
      </c>
      <c r="K53" s="12">
        <f>kWh!K53*('Elec Rates'!K53-'CS Rates'!K53)</f>
        <v>1962.6960000000001</v>
      </c>
      <c r="L53" s="12">
        <f>kWh!L53*('Elec Rates'!L53-'CS Rates'!L53)</f>
        <v>609.30499999999972</v>
      </c>
      <c r="M53" s="12">
        <f>kWh!M53*('Elec Rates'!M53-'CS Rates'!M53)</f>
        <v>573.98599999999999</v>
      </c>
      <c r="N53" s="12">
        <f>kWh!N53*('Elec Rates'!N53-'CS Rates'!N53)</f>
        <v>147.67999999999995</v>
      </c>
      <c r="O53" s="12">
        <f>kWh!O53*('Elec Rates'!O53-'CS Rates'!O53)</f>
        <v>177.86799999999999</v>
      </c>
      <c r="P53" s="12">
        <f>kWh!P53*('Elec Rates'!P53-'CS Rates'!P53)</f>
        <v>0</v>
      </c>
      <c r="Q53" s="12">
        <f>kWh!Q53*('Elec Rates'!Q53-'CS Rates'!Q53)</f>
        <v>331.01800000000003</v>
      </c>
      <c r="R53" s="12">
        <f>kWh!R53*('Elec Rates'!R53-'CS Rates'!R53)</f>
        <v>0</v>
      </c>
      <c r="S53" s="12">
        <f>kWh!S53*('Elec Rates'!S53-'CS Rates'!S53)</f>
        <v>0</v>
      </c>
      <c r="T53" s="12">
        <f>kWh!T53*('Elec Rates'!T53-'CS Rates'!T53)</f>
        <v>0</v>
      </c>
      <c r="U53" s="12">
        <f>kWh!U53*('Elec Rates'!U53-'CS Rates'!U53)</f>
        <v>0</v>
      </c>
      <c r="V53" s="12">
        <f>kWh!V53*('Elec Rates'!V53-'CS Rates'!V53)</f>
        <v>0</v>
      </c>
      <c r="W53" s="12">
        <f>kWh!W53*('Elec Rates'!W53-'CS Rates'!W53)</f>
        <v>0</v>
      </c>
      <c r="X53" s="12">
        <f>kWh!X53*('Elec Rates'!X53-'CS Rates'!X53)</f>
        <v>0</v>
      </c>
      <c r="Y53" s="12">
        <f>kWh!Y53*('Elec Rates'!Y53-'CS Rates'!Y53)</f>
        <v>0</v>
      </c>
      <c r="Z53" s="12">
        <f>kWh!Z53*('Elec Rates'!Z53-'CS Rates'!Z53)</f>
        <v>0</v>
      </c>
      <c r="AA53" s="12">
        <f>kWh!AA53*('Elec Rates'!AA53-'CS Rates'!AA53)</f>
        <v>0</v>
      </c>
      <c r="AB53" s="12">
        <f>kWh!AB53*('Elec Rates'!AB53-'CS Rates'!AB53)</f>
        <v>0</v>
      </c>
      <c r="AC53" s="12">
        <f>kWh!AC53*('Elec Rates'!AC53-'CS Rates'!AC53)</f>
        <v>0</v>
      </c>
      <c r="AD53" s="12">
        <f>kWh!AD53*('Elec Rates'!AD53-'CS Rates'!AD53)</f>
        <v>0</v>
      </c>
      <c r="AE53" s="12">
        <f>kWh!AE53*('Elec Rates'!AE53-'CS Rates'!AE53)</f>
        <v>0</v>
      </c>
      <c r="AF53" s="12">
        <f>kWh!AF53*('Elec Rates'!AF53-'CS Rates'!AF53)</f>
        <v>0</v>
      </c>
      <c r="AG53" s="12">
        <f>kWh!AG53*('Elec Rates'!AG53-'CS Rates'!AG53)</f>
        <v>0</v>
      </c>
      <c r="AH53" s="12">
        <f>kWh!AH53*('Elec Rates'!AH53-'CS Rates'!AH53)</f>
        <v>0</v>
      </c>
      <c r="AI53" s="12">
        <f>kWh!AI53*('Elec Rates'!AI53-'CS Rates'!AI53)</f>
        <v>0</v>
      </c>
      <c r="AJ53" s="12">
        <f>kWh!AJ53*('Elec Rates'!AJ53-'CS Rates'!AJ53)</f>
        <v>0</v>
      </c>
      <c r="AK53" s="12">
        <f>kWh!AK53*('Elec Rates'!AK53-'CS Rates'!AK53)</f>
        <v>0</v>
      </c>
      <c r="AL53" s="12">
        <f>kWh!AL53*('Elec Rates'!AL53-'CS Rates'!AL53)</f>
        <v>0</v>
      </c>
      <c r="AM53" s="12">
        <f>kWh!AM53*('Elec Rates'!AM53-'CS Rates'!AM53)</f>
        <v>0</v>
      </c>
      <c r="AN53" s="12">
        <f>kWh!AN53*('Elec Rates'!AN53-'CS Rates'!AN53)</f>
        <v>0</v>
      </c>
      <c r="AO53" s="12">
        <f>kWh!AO53*('Elec Rates'!AO53-'CS Rates'!AO53)</f>
        <v>0</v>
      </c>
      <c r="AP53" s="12">
        <f>kWh!AP53*('Elec Rates'!AP53-'CS Rates'!AP53)</f>
        <v>0</v>
      </c>
      <c r="AQ53" s="12">
        <f t="shared" si="0"/>
        <v>10769.572300000003</v>
      </c>
    </row>
    <row r="54" spans="1:43" x14ac:dyDescent="0.3">
      <c r="A54" s="4">
        <v>45839</v>
      </c>
      <c r="B54" s="12">
        <f>kWh!B54*('Elec Rates'!B54-'CS Rates'!B54)</f>
        <v>1099.9599000000001</v>
      </c>
      <c r="C54" s="12">
        <f>kWh!C54*('Elec Rates'!C54-'CS Rates'!C54)</f>
        <v>354.6278999999999</v>
      </c>
      <c r="D54" s="12">
        <f>kWh!D54*('Elec Rates'!D54-'CS Rates'!D54)</f>
        <v>1513.3068999999998</v>
      </c>
      <c r="E54" s="12">
        <f>kWh!E54*('Elec Rates'!E54-'CS Rates'!E54)</f>
        <v>1516.8747999999998</v>
      </c>
      <c r="F54" s="12">
        <f>kWh!F54*('Elec Rates'!F54-'CS Rates'!F54)</f>
        <v>753.56159999999988</v>
      </c>
      <c r="G54" s="12">
        <f>kWh!G54*('Elec Rates'!G54-'CS Rates'!G54)</f>
        <v>388.1318</v>
      </c>
      <c r="H54" s="12">
        <f>kWh!H54*('Elec Rates'!H54-'CS Rates'!H54)</f>
        <v>998.09040000000005</v>
      </c>
      <c r="I54" s="12">
        <f>kWh!I54*('Elec Rates'!I54-'CS Rates'!I54)</f>
        <v>170.20399999999995</v>
      </c>
      <c r="J54" s="12">
        <f>kWh!J54*('Elec Rates'!J54-'CS Rates'!J54)</f>
        <v>185.65399999999997</v>
      </c>
      <c r="K54" s="12">
        <f>kWh!K54*('Elec Rates'!K54-'CS Rates'!K54)</f>
        <v>2032.5500000000002</v>
      </c>
      <c r="L54" s="12">
        <f>kWh!L54*('Elec Rates'!L54-'CS Rates'!L54)</f>
        <v>647.46599999999967</v>
      </c>
      <c r="M54" s="12">
        <f>kWh!M54*('Elec Rates'!M54-'CS Rates'!M54)</f>
        <v>780.70999999999992</v>
      </c>
      <c r="N54" s="12">
        <f>kWh!N54*('Elec Rates'!N54-'CS Rates'!N54)</f>
        <v>651.03499999999985</v>
      </c>
      <c r="O54" s="12">
        <f>kWh!O54*('Elec Rates'!O54-'CS Rates'!O54)</f>
        <v>341.73099999999994</v>
      </c>
      <c r="P54" s="12">
        <f>kWh!P54*('Elec Rates'!P54-'CS Rates'!P54)</f>
        <v>0</v>
      </c>
      <c r="Q54" s="12">
        <f>kWh!Q54*('Elec Rates'!Q54-'CS Rates'!Q54)</f>
        <v>353.14100000000002</v>
      </c>
      <c r="R54" s="12">
        <f>kWh!R54*('Elec Rates'!R54-'CS Rates'!R54)</f>
        <v>0</v>
      </c>
      <c r="S54" s="12">
        <f>kWh!S54*('Elec Rates'!S54-'CS Rates'!S54)</f>
        <v>0</v>
      </c>
      <c r="T54" s="12">
        <f>kWh!T54*('Elec Rates'!T54-'CS Rates'!T54)</f>
        <v>230.76900000000001</v>
      </c>
      <c r="U54" s="12">
        <f>kWh!U54*('Elec Rates'!U54-'CS Rates'!U54)</f>
        <v>0</v>
      </c>
      <c r="V54" s="12">
        <f>kWh!V54*('Elec Rates'!V54-'CS Rates'!V54)</f>
        <v>0</v>
      </c>
      <c r="W54" s="12">
        <f>kWh!W54*('Elec Rates'!W54-'CS Rates'!W54)</f>
        <v>0</v>
      </c>
      <c r="X54" s="12">
        <f>kWh!X54*('Elec Rates'!X54-'CS Rates'!X54)</f>
        <v>471.66300000000001</v>
      </c>
      <c r="Y54" s="12">
        <f>kWh!Y54*('Elec Rates'!Y54-'CS Rates'!Y54)</f>
        <v>408.60599999999994</v>
      </c>
      <c r="Z54" s="12">
        <f>kWh!Z54*('Elec Rates'!Z54-'CS Rates'!Z54)</f>
        <v>0</v>
      </c>
      <c r="AA54" s="12">
        <f>kWh!AA54*('Elec Rates'!AA54-'CS Rates'!AA54)</f>
        <v>172.42399999999986</v>
      </c>
      <c r="AB54" s="12">
        <f>kWh!AB54*('Elec Rates'!AB54-'CS Rates'!AB54)</f>
        <v>215.68199999999999</v>
      </c>
      <c r="AC54" s="12">
        <f>kWh!AC54*('Elec Rates'!AC54-'CS Rates'!AC54)</f>
        <v>0</v>
      </c>
      <c r="AD54" s="12">
        <f>kWh!AD54*('Elec Rates'!AD54-'CS Rates'!AD54)</f>
        <v>0</v>
      </c>
      <c r="AE54" s="12">
        <f>kWh!AE54*('Elec Rates'!AE54-'CS Rates'!AE54)</f>
        <v>0</v>
      </c>
      <c r="AF54" s="12">
        <f>kWh!AF54*('Elec Rates'!AF54-'CS Rates'!AF54)</f>
        <v>0</v>
      </c>
      <c r="AG54" s="12">
        <f>kWh!AG54*('Elec Rates'!AG54-'CS Rates'!AG54)</f>
        <v>0</v>
      </c>
      <c r="AH54" s="12">
        <f>kWh!AH54*('Elec Rates'!AH54-'CS Rates'!AH54)</f>
        <v>0</v>
      </c>
      <c r="AI54" s="12">
        <f>kWh!AI54*('Elec Rates'!AI54-'CS Rates'!AI54)</f>
        <v>0</v>
      </c>
      <c r="AJ54" s="12">
        <f>kWh!AJ54*('Elec Rates'!AJ54-'CS Rates'!AJ54)</f>
        <v>0</v>
      </c>
      <c r="AK54" s="12">
        <f>kWh!AK54*('Elec Rates'!AK54-'CS Rates'!AK54)</f>
        <v>0</v>
      </c>
      <c r="AL54" s="12">
        <f>kWh!AL54*('Elec Rates'!AL54-'CS Rates'!AL54)</f>
        <v>0</v>
      </c>
      <c r="AM54" s="12">
        <f>kWh!AM54*('Elec Rates'!AM54-'CS Rates'!AM54)</f>
        <v>0</v>
      </c>
      <c r="AN54" s="12">
        <f>kWh!AN54*('Elec Rates'!AN54-'CS Rates'!AN54)</f>
        <v>0</v>
      </c>
      <c r="AO54" s="12">
        <f>kWh!AO54*('Elec Rates'!AO54-'CS Rates'!AO54)</f>
        <v>0</v>
      </c>
      <c r="AP54" s="12">
        <f>kWh!AP54*('Elec Rates'!AP54-'CS Rates'!AP54)</f>
        <v>0</v>
      </c>
      <c r="AQ54" s="12">
        <f t="shared" si="0"/>
        <v>13286.188299999998</v>
      </c>
    </row>
    <row r="55" spans="1:43" x14ac:dyDescent="0.3">
      <c r="A55" s="4">
        <v>45870</v>
      </c>
      <c r="B55" s="12">
        <f>kWh!B55*('Elec Rates'!B55-'CS Rates'!B55)</f>
        <v>805.34249999999997</v>
      </c>
      <c r="C55" s="12">
        <f>kWh!C55*('Elec Rates'!C55-'CS Rates'!C55)</f>
        <v>286.30969999999996</v>
      </c>
      <c r="D55" s="12">
        <f>kWh!D55*('Elec Rates'!D55-'CS Rates'!D55)</f>
        <v>1069.1720999999998</v>
      </c>
      <c r="E55" s="12">
        <f>kWh!E55*('Elec Rates'!E55-'CS Rates'!E55)</f>
        <v>1560.0366000000001</v>
      </c>
      <c r="F55" s="12">
        <f>kWh!F55*('Elec Rates'!F55-'CS Rates'!F55)</f>
        <v>567.03679999999997</v>
      </c>
      <c r="G55" s="12">
        <f>kWh!G55*('Elec Rates'!G55-'CS Rates'!G55)</f>
        <v>301.78460000000001</v>
      </c>
      <c r="H55" s="12">
        <f>kWh!H55*('Elec Rates'!H55-'CS Rates'!H55)</f>
        <v>657.1866</v>
      </c>
      <c r="I55" s="12">
        <f>kWh!I55*('Elec Rates'!I55-'CS Rates'!I55)</f>
        <v>120.46599999999995</v>
      </c>
      <c r="J55" s="12">
        <f>kWh!J55*('Elec Rates'!J55-'CS Rates'!J55)</f>
        <v>229.30600000000007</v>
      </c>
      <c r="K55" s="12">
        <f>kWh!K55*('Elec Rates'!K55-'CS Rates'!K55)</f>
        <v>1097.1449999999998</v>
      </c>
      <c r="L55" s="12">
        <f>kWh!L55*('Elec Rates'!L55-'CS Rates'!L55)</f>
        <v>398.23200000000014</v>
      </c>
      <c r="M55" s="12">
        <f>kWh!M55*('Elec Rates'!M55-'CS Rates'!M55)</f>
        <v>658.57799999999997</v>
      </c>
      <c r="N55" s="12">
        <f>kWh!N55*('Elec Rates'!N55-'CS Rates'!N55)</f>
        <v>566.1629999999999</v>
      </c>
      <c r="O55" s="12">
        <f>kWh!O55*('Elec Rates'!O55-'CS Rates'!O55)</f>
        <v>287.49</v>
      </c>
      <c r="P55" s="12">
        <f>kWh!P55*('Elec Rates'!P55-'CS Rates'!P55)</f>
        <v>0</v>
      </c>
      <c r="Q55" s="12">
        <f>kWh!Q55*('Elec Rates'!Q55-'CS Rates'!Q55)</f>
        <v>655.95899999999995</v>
      </c>
      <c r="R55" s="12">
        <f>kWh!R55*('Elec Rates'!R55-'CS Rates'!R55)</f>
        <v>0</v>
      </c>
      <c r="S55" s="12">
        <f>kWh!S55*('Elec Rates'!S55-'CS Rates'!S55)</f>
        <v>-52.440000000000047</v>
      </c>
      <c r="T55" s="12">
        <f>kWh!T55*('Elec Rates'!T55-'CS Rates'!T55)</f>
        <v>544.57600000000002</v>
      </c>
      <c r="U55" s="12">
        <f>kWh!U55*('Elec Rates'!U55-'CS Rates'!U55)</f>
        <v>0</v>
      </c>
      <c r="V55" s="12">
        <f>kWh!V55*('Elec Rates'!V55-'CS Rates'!V55)</f>
        <v>0</v>
      </c>
      <c r="W55" s="12">
        <f>kWh!W55*('Elec Rates'!W55-'CS Rates'!W55)</f>
        <v>0</v>
      </c>
      <c r="X55" s="12">
        <f>kWh!X55*('Elec Rates'!X55-'CS Rates'!X55)</f>
        <v>1538.5440000000001</v>
      </c>
      <c r="Y55" s="12">
        <f>kWh!Y55*('Elec Rates'!Y55-'CS Rates'!Y55)</f>
        <v>310.488</v>
      </c>
      <c r="Z55" s="12">
        <f>kWh!Z55*('Elec Rates'!Z55-'CS Rates'!Z55)</f>
        <v>22.567999999999984</v>
      </c>
      <c r="AA55" s="12">
        <f>kWh!AA55*('Elec Rates'!AA55-'CS Rates'!AA55)</f>
        <v>174.31999999999991</v>
      </c>
      <c r="AB55" s="12">
        <f>kWh!AB55*('Elec Rates'!AB55-'CS Rates'!AB55)</f>
        <v>321.81599999999997</v>
      </c>
      <c r="AC55" s="12">
        <f>kWh!AC55*('Elec Rates'!AC55-'CS Rates'!AC55)</f>
        <v>0</v>
      </c>
      <c r="AD55" s="12">
        <f>kWh!AD55*('Elec Rates'!AD55-'CS Rates'!AD55)</f>
        <v>0</v>
      </c>
      <c r="AE55" s="12">
        <f>kWh!AE55*('Elec Rates'!AE55-'CS Rates'!AE55)</f>
        <v>0</v>
      </c>
      <c r="AF55" s="12">
        <f>kWh!AF55*('Elec Rates'!AF55-'CS Rates'!AF55)</f>
        <v>0</v>
      </c>
      <c r="AG55" s="12">
        <f>kWh!AG55*('Elec Rates'!AG55-'CS Rates'!AG55)</f>
        <v>0</v>
      </c>
      <c r="AH55" s="12">
        <f>kWh!AH55*('Elec Rates'!AH55-'CS Rates'!AH55)</f>
        <v>0</v>
      </c>
      <c r="AI55" s="12">
        <f>kWh!AI55*('Elec Rates'!AI55-'CS Rates'!AI55)</f>
        <v>0</v>
      </c>
      <c r="AJ55" s="12">
        <f>kWh!AJ55*('Elec Rates'!AJ55-'CS Rates'!AJ55)</f>
        <v>0</v>
      </c>
      <c r="AK55" s="12">
        <f>kWh!AK55*('Elec Rates'!AK55-'CS Rates'!AK55)</f>
        <v>0</v>
      </c>
      <c r="AL55" s="12">
        <f>kWh!AL55*('Elec Rates'!AL55-'CS Rates'!AL55)</f>
        <v>0</v>
      </c>
      <c r="AM55" s="12">
        <f>kWh!AM55*('Elec Rates'!AM55-'CS Rates'!AM55)</f>
        <v>0</v>
      </c>
      <c r="AN55" s="12">
        <f>kWh!AN55*('Elec Rates'!AN55-'CS Rates'!AN55)</f>
        <v>0</v>
      </c>
      <c r="AO55" s="12">
        <f>kWh!AO55*('Elec Rates'!AO55-'CS Rates'!AO55)</f>
        <v>0</v>
      </c>
      <c r="AP55" s="12">
        <f>kWh!AP55*('Elec Rates'!AP55-'CS Rates'!AP55)</f>
        <v>0</v>
      </c>
      <c r="AQ55" s="12">
        <f t="shared" si="0"/>
        <v>12120.079899999999</v>
      </c>
    </row>
    <row r="56" spans="1:43" x14ac:dyDescent="0.3">
      <c r="A56" s="4">
        <v>45901</v>
      </c>
      <c r="B56" s="12">
        <f>kWh!B56*('Elec Rates'!B56-'CS Rates'!B56)</f>
        <v>812.76729999999998</v>
      </c>
      <c r="C56" s="12">
        <f>kWh!C56*('Elec Rates'!C56-'CS Rates'!C56)</f>
        <v>287.98889999999994</v>
      </c>
      <c r="D56" s="12">
        <f>kWh!D56*('Elec Rates'!D56-'CS Rates'!D56)</f>
        <v>1098.4676999999999</v>
      </c>
      <c r="E56" s="12">
        <f>kWh!E56*('Elec Rates'!E56-'CS Rates'!E56)</f>
        <v>1169.6383999999998</v>
      </c>
      <c r="F56" s="12">
        <f>kWh!F56*('Elec Rates'!F56-'CS Rates'!F56)</f>
        <v>620.76</v>
      </c>
      <c r="G56" s="12">
        <f>kWh!G56*('Elec Rates'!G56-'CS Rates'!G56)</f>
        <v>319.54519999999997</v>
      </c>
      <c r="H56" s="12">
        <f>kWh!H56*('Elec Rates'!H56-'CS Rates'!H56)</f>
        <v>1068.2112</v>
      </c>
      <c r="I56" s="12">
        <f>kWh!I56*('Elec Rates'!I56-'CS Rates'!I56)</f>
        <v>4.153000000000004</v>
      </c>
      <c r="J56" s="12">
        <f>kWh!J56*('Elec Rates'!J56-'CS Rates'!J56)</f>
        <v>231.48400000000007</v>
      </c>
      <c r="K56" s="12">
        <f>kWh!K56*('Elec Rates'!K56-'CS Rates'!K56)</f>
        <v>1215.9239999999998</v>
      </c>
      <c r="L56" s="12">
        <f>kWh!L56*('Elec Rates'!L56-'CS Rates'!L56)</f>
        <v>432.02400000000011</v>
      </c>
      <c r="M56" s="12">
        <f>kWh!M56*('Elec Rates'!M56-'CS Rates'!M56)</f>
        <v>701.59899999999993</v>
      </c>
      <c r="N56" s="12">
        <f>kWh!N56*('Elec Rates'!N56-'CS Rates'!N56)</f>
        <v>808.69600000000003</v>
      </c>
      <c r="O56" s="12">
        <f>kWh!O56*('Elec Rates'!O56-'CS Rates'!O56)</f>
        <v>316.76400000000001</v>
      </c>
      <c r="P56" s="12">
        <f>kWh!P56*('Elec Rates'!P56-'CS Rates'!P56)</f>
        <v>0</v>
      </c>
      <c r="Q56" s="12">
        <f>kWh!Q56*('Elec Rates'!Q56-'CS Rates'!Q56)</f>
        <v>601.35799999999983</v>
      </c>
      <c r="R56" s="12">
        <f>kWh!R56*('Elec Rates'!R56-'CS Rates'!R56)</f>
        <v>137.10000000000002</v>
      </c>
      <c r="S56" s="12">
        <f>kWh!S56*('Elec Rates'!S56-'CS Rates'!S56)</f>
        <v>16.833000000000016</v>
      </c>
      <c r="T56" s="12">
        <f>kWh!T56*('Elec Rates'!T56-'CS Rates'!T56)</f>
        <v>508.48199999999991</v>
      </c>
      <c r="U56" s="12">
        <f>kWh!U56*('Elec Rates'!U56-'CS Rates'!U56)</f>
        <v>143.75399999999999</v>
      </c>
      <c r="V56" s="12">
        <f>kWh!V56*('Elec Rates'!V56-'CS Rates'!V56)</f>
        <v>1.6499999999999992</v>
      </c>
      <c r="W56" s="12">
        <f>kWh!W56*('Elec Rates'!W56-'CS Rates'!W56)</f>
        <v>441.35999999999996</v>
      </c>
      <c r="X56" s="12">
        <f>kWh!X56*('Elec Rates'!X56-'CS Rates'!X56)</f>
        <v>1635.4620000000002</v>
      </c>
      <c r="Y56" s="12">
        <f>kWh!Y56*('Elec Rates'!Y56-'CS Rates'!Y56)</f>
        <v>298.77600000000001</v>
      </c>
      <c r="Z56" s="12">
        <f>kWh!Z56*('Elec Rates'!Z56-'CS Rates'!Z56)</f>
        <v>194.75899999999996</v>
      </c>
      <c r="AA56" s="12">
        <f>kWh!AA56*('Elec Rates'!AA56-'CS Rates'!AA56)</f>
        <v>-130.21400000000011</v>
      </c>
      <c r="AB56" s="12">
        <f>kWh!AB56*('Elec Rates'!AB56-'CS Rates'!AB56)</f>
        <v>329.44799999999998</v>
      </c>
      <c r="AC56" s="12">
        <f>kWh!AC56*('Elec Rates'!AC56-'CS Rates'!AC56)</f>
        <v>0</v>
      </c>
      <c r="AD56" s="12">
        <f>kWh!AD56*('Elec Rates'!AD56-'CS Rates'!AD56)</f>
        <v>0</v>
      </c>
      <c r="AE56" s="12">
        <f>kWh!AE56*('Elec Rates'!AE56-'CS Rates'!AE56)</f>
        <v>0</v>
      </c>
      <c r="AF56" s="12">
        <f>kWh!AF56*('Elec Rates'!AF56-'CS Rates'!AF56)</f>
        <v>0</v>
      </c>
      <c r="AG56" s="12">
        <f>kWh!AG56*('Elec Rates'!AG56-'CS Rates'!AG56)</f>
        <v>0</v>
      </c>
      <c r="AH56" s="12">
        <f>kWh!AH56*('Elec Rates'!AH56-'CS Rates'!AH56)</f>
        <v>0</v>
      </c>
      <c r="AI56" s="12">
        <f>kWh!AI56*('Elec Rates'!AI56-'CS Rates'!AI56)</f>
        <v>0</v>
      </c>
      <c r="AJ56" s="12">
        <f>kWh!AJ56*('Elec Rates'!AJ56-'CS Rates'!AJ56)</f>
        <v>0</v>
      </c>
      <c r="AK56" s="12">
        <f>kWh!AK56*('Elec Rates'!AK56-'CS Rates'!AK56)</f>
        <v>0</v>
      </c>
      <c r="AL56" s="12">
        <f>kWh!AL56*('Elec Rates'!AL56-'CS Rates'!AL56)</f>
        <v>0</v>
      </c>
      <c r="AM56" s="12">
        <f>kWh!AM56*('Elec Rates'!AM56-'CS Rates'!AM56)</f>
        <v>0</v>
      </c>
      <c r="AN56" s="12">
        <f>kWh!AN56*('Elec Rates'!AN56-'CS Rates'!AN56)</f>
        <v>0</v>
      </c>
      <c r="AO56" s="12">
        <f>kWh!AO56*('Elec Rates'!AO56-'CS Rates'!AO56)</f>
        <v>0</v>
      </c>
      <c r="AP56" s="12">
        <f>kWh!AP56*('Elec Rates'!AP56-'CS Rates'!AP56)</f>
        <v>0</v>
      </c>
      <c r="AQ56" s="12">
        <f t="shared" si="0"/>
        <v>13266.790700000001</v>
      </c>
    </row>
    <row r="57" spans="1:43" x14ac:dyDescent="0.3">
      <c r="A57" s="4">
        <v>45931</v>
      </c>
      <c r="B57" s="12">
        <f>kWh!B57*('Elec Rates'!B57-'CS Rates'!B57)</f>
        <v>289.58669999999995</v>
      </c>
      <c r="C57" s="12">
        <f>kWh!C57*('Elec Rates'!C57-'CS Rates'!C57)</f>
        <v>435.47539999999992</v>
      </c>
      <c r="D57" s="12">
        <f>kWh!D57*('Elec Rates'!D57-'CS Rates'!D57)</f>
        <v>378.74399999999997</v>
      </c>
      <c r="E57" s="12">
        <f>kWh!E57*('Elec Rates'!E57-'CS Rates'!E57)</f>
        <v>205.5274</v>
      </c>
      <c r="F57" s="12">
        <f>kWh!F57*('Elec Rates'!F57-'CS Rates'!F57)</f>
        <v>484.34059999999994</v>
      </c>
      <c r="G57" s="12">
        <f>kWh!G57*('Elec Rates'!G57-'CS Rates'!G57)</f>
        <v>110.75440000000002</v>
      </c>
      <c r="H57" s="12">
        <f>kWh!H57*('Elec Rates'!H57-'CS Rates'!H57)</f>
        <v>612.27599999999995</v>
      </c>
      <c r="I57" s="12">
        <f>kWh!I57*('Elec Rates'!I57-'CS Rates'!I57)</f>
        <v>33.999999999999986</v>
      </c>
      <c r="J57" s="12">
        <f>kWh!J57*('Elec Rates'!J57-'CS Rates'!J57)</f>
        <v>171.98000000000005</v>
      </c>
      <c r="K57" s="12">
        <f>kWh!K57*('Elec Rates'!K57-'CS Rates'!K57)</f>
        <v>801.96999999999969</v>
      </c>
      <c r="L57" s="12">
        <f>kWh!L57*('Elec Rates'!L57-'CS Rates'!L57)</f>
        <v>469.95999999999981</v>
      </c>
      <c r="M57" s="12">
        <f>kWh!M57*('Elec Rates'!M57-'CS Rates'!M57)</f>
        <v>558.03</v>
      </c>
      <c r="N57" s="12">
        <f>kWh!N57*('Elec Rates'!N57-'CS Rates'!N57)</f>
        <v>587.95799999999997</v>
      </c>
      <c r="O57" s="12">
        <f>kWh!O57*('Elec Rates'!O57-'CS Rates'!O57)</f>
        <v>54.925000000000018</v>
      </c>
      <c r="P57" s="12">
        <f>kWh!P57*('Elec Rates'!P57-'CS Rates'!P57)</f>
        <v>0</v>
      </c>
      <c r="Q57" s="12">
        <f>kWh!Q57*('Elec Rates'!Q57-'CS Rates'!Q57)</f>
        <v>442.98999999999978</v>
      </c>
      <c r="R57" s="12">
        <f>kWh!R57*('Elec Rates'!R57-'CS Rates'!R57)</f>
        <v>285.15199999999993</v>
      </c>
      <c r="S57" s="12">
        <f>kWh!S57*('Elec Rates'!S57-'CS Rates'!S57)</f>
        <v>29.578000000000028</v>
      </c>
      <c r="T57" s="12">
        <f>kWh!T57*('Elec Rates'!T57-'CS Rates'!T57)</f>
        <v>394.99799999999999</v>
      </c>
      <c r="U57" s="12">
        <f>kWh!U57*('Elec Rates'!U57-'CS Rates'!U57)</f>
        <v>142.59799999999996</v>
      </c>
      <c r="V57" s="12">
        <f>kWh!V57*('Elec Rates'!V57-'CS Rates'!V57)</f>
        <v>342.3959999999999</v>
      </c>
      <c r="W57" s="12">
        <f>kWh!W57*('Elec Rates'!W57-'CS Rates'!W57)</f>
        <v>697.12999999999988</v>
      </c>
      <c r="X57" s="12">
        <f>kWh!X57*('Elec Rates'!X57-'CS Rates'!X57)</f>
        <v>1306.6690000000001</v>
      </c>
      <c r="Y57" s="12">
        <f>kWh!Y57*('Elec Rates'!Y57-'CS Rates'!Y57)</f>
        <v>249.08799999999999</v>
      </c>
      <c r="Z57" s="12">
        <f>kWh!Z57*('Elec Rates'!Z57-'CS Rates'!Z57)</f>
        <v>156.83999999999995</v>
      </c>
      <c r="AA57" s="12">
        <f>kWh!AA57*('Elec Rates'!AA57-'CS Rates'!AA57)</f>
        <v>28.824000000000026</v>
      </c>
      <c r="AB57" s="12">
        <f>kWh!AB57*('Elec Rates'!AB57-'CS Rates'!AB57)</f>
        <v>43.396000000000008</v>
      </c>
      <c r="AC57" s="12">
        <f>kWh!AC57*('Elec Rates'!AC57-'CS Rates'!AC57)</f>
        <v>0</v>
      </c>
      <c r="AD57" s="12">
        <f>kWh!AD57*('Elec Rates'!AD57-'CS Rates'!AD57)</f>
        <v>719.2349999999999</v>
      </c>
      <c r="AE57" s="12">
        <f>kWh!AE57*('Elec Rates'!AE57-'CS Rates'!AE57)</f>
        <v>24.569999999999997</v>
      </c>
      <c r="AF57" s="12">
        <f>kWh!AF57*('Elec Rates'!AF57-'CS Rates'!AF57)</f>
        <v>0</v>
      </c>
      <c r="AG57" s="12">
        <f>kWh!AG57*('Elec Rates'!AG57-'CS Rates'!AG57)</f>
        <v>0</v>
      </c>
      <c r="AH57" s="12">
        <f>kWh!AH57*('Elec Rates'!AH57-'CS Rates'!AH57)</f>
        <v>0</v>
      </c>
      <c r="AI57" s="12">
        <f>kWh!AI57*('Elec Rates'!AI57-'CS Rates'!AI57)</f>
        <v>106.173</v>
      </c>
      <c r="AJ57" s="12">
        <f>kWh!AJ57*('Elec Rates'!AJ57-'CS Rates'!AJ57)</f>
        <v>0</v>
      </c>
      <c r="AK57" s="12">
        <f>kWh!AK57*('Elec Rates'!AK57-'CS Rates'!AK57)</f>
        <v>0</v>
      </c>
      <c r="AL57" s="12">
        <f>kWh!AL57*('Elec Rates'!AL57-'CS Rates'!AL57)</f>
        <v>0</v>
      </c>
      <c r="AM57" s="12">
        <f>kWh!AM57*('Elec Rates'!AM57-'CS Rates'!AM57)</f>
        <v>0</v>
      </c>
      <c r="AN57" s="12">
        <f>kWh!AN57*('Elec Rates'!AN57-'CS Rates'!AN57)</f>
        <v>0</v>
      </c>
      <c r="AO57" s="12">
        <f>kWh!AO57*('Elec Rates'!AO57-'CS Rates'!AO57)</f>
        <v>0</v>
      </c>
      <c r="AP57" s="12">
        <f>kWh!AP57*('Elec Rates'!AP57-'CS Rates'!AP57)</f>
        <v>0</v>
      </c>
      <c r="AQ57" s="12">
        <f t="shared" si="0"/>
        <v>10165.164500000001</v>
      </c>
    </row>
    <row r="58" spans="1:43" x14ac:dyDescent="0.3">
      <c r="A58" s="4">
        <v>45962</v>
      </c>
      <c r="B58" s="12">
        <f>kWh!B58*('Elec Rates'!B58-'CS Rates'!B58)</f>
        <v>222.52039999999994</v>
      </c>
      <c r="C58" s="12">
        <f>kWh!C58*('Elec Rates'!C58-'CS Rates'!C58)</f>
        <v>383.31359999999995</v>
      </c>
      <c r="D58" s="12">
        <f>kWh!D58*('Elec Rates'!D58-'CS Rates'!D58)</f>
        <v>369.39319999999998</v>
      </c>
      <c r="E58" s="12">
        <f>kWh!E58*('Elec Rates'!E58-'CS Rates'!E58)</f>
        <v>156.61229999999998</v>
      </c>
      <c r="F58" s="12">
        <f>kWh!F58*('Elec Rates'!F58-'CS Rates'!F58)</f>
        <v>397.87079999999992</v>
      </c>
      <c r="G58" s="12">
        <f>kWh!G58*('Elec Rates'!G58-'CS Rates'!G58)</f>
        <v>97.327600000000018</v>
      </c>
      <c r="H58" s="12">
        <f>kWh!H58*('Elec Rates'!H58-'CS Rates'!H58)</f>
        <v>519.23199999999997</v>
      </c>
      <c r="I58" s="12">
        <f>kWh!I58*('Elec Rates'!I58-'CS Rates'!I58)</f>
        <v>247.06499999999997</v>
      </c>
      <c r="J58" s="12">
        <f>kWh!J58*('Elec Rates'!J58-'CS Rates'!J58)</f>
        <v>173.07500000000005</v>
      </c>
      <c r="K58" s="12">
        <f>kWh!K58*('Elec Rates'!K58-'CS Rates'!K58)</f>
        <v>553.25699999999961</v>
      </c>
      <c r="L58" s="12">
        <f>kWh!L58*('Elec Rates'!L58-'CS Rates'!L58)</f>
        <v>315.30700000000007</v>
      </c>
      <c r="M58" s="12">
        <f>kWh!M58*('Elec Rates'!M58-'CS Rates'!M58)</f>
        <v>425.05399999999997</v>
      </c>
      <c r="N58" s="12">
        <f>kWh!N58*('Elec Rates'!N58-'CS Rates'!N58)</f>
        <v>580.59</v>
      </c>
      <c r="O58" s="12">
        <f>kWh!O58*('Elec Rates'!O58-'CS Rates'!O58)</f>
        <v>67.391999999999982</v>
      </c>
      <c r="P58" s="12">
        <f>kWh!P58*('Elec Rates'!P58-'CS Rates'!P58)</f>
        <v>0</v>
      </c>
      <c r="Q58" s="12">
        <f>kWh!Q58*('Elec Rates'!Q58-'CS Rates'!Q58)</f>
        <v>927.69600000000003</v>
      </c>
      <c r="R58" s="12">
        <f>kWh!R58*('Elec Rates'!R58-'CS Rates'!R58)</f>
        <v>533.02499999999998</v>
      </c>
      <c r="S58" s="12">
        <f>kWh!S58*('Elec Rates'!S58-'CS Rates'!S58)</f>
        <v>208.59200000000001</v>
      </c>
      <c r="T58" s="12">
        <f>kWh!T58*('Elec Rates'!T58-'CS Rates'!T58)</f>
        <v>265.55999999999995</v>
      </c>
      <c r="U58" s="12">
        <f>kWh!U58*('Elec Rates'!U58-'CS Rates'!U58)</f>
        <v>113.32999999999997</v>
      </c>
      <c r="V58" s="12">
        <f>kWh!V58*('Elec Rates'!V58-'CS Rates'!V58)</f>
        <v>340.00099999999998</v>
      </c>
      <c r="W58" s="12">
        <f>kWh!W58*('Elec Rates'!W58-'CS Rates'!W58)</f>
        <v>398.46600000000007</v>
      </c>
      <c r="X58" s="12">
        <f>kWh!X58*('Elec Rates'!X58-'CS Rates'!X58)</f>
        <v>913.51199999999983</v>
      </c>
      <c r="Y58" s="12">
        <f>kWh!Y58*('Elec Rates'!Y58-'CS Rates'!Y58)</f>
        <v>199.77500000000001</v>
      </c>
      <c r="Z58" s="12">
        <f>kWh!Z58*('Elec Rates'!Z58-'CS Rates'!Z58)</f>
        <v>53.880000000000017</v>
      </c>
      <c r="AA58" s="12">
        <f>kWh!AA58*('Elec Rates'!AA58-'CS Rates'!AA58)</f>
        <v>260.05000000000007</v>
      </c>
      <c r="AB58" s="12">
        <f>kWh!AB58*('Elec Rates'!AB58-'CS Rates'!AB58)</f>
        <v>17.544999999999995</v>
      </c>
      <c r="AC58" s="12">
        <f>kWh!AC58*('Elec Rates'!AC58-'CS Rates'!AC58)</f>
        <v>250.21300000000002</v>
      </c>
      <c r="AD58" s="12">
        <f>kWh!AD58*('Elec Rates'!AD58-'CS Rates'!AD58)</f>
        <v>746.02699999999993</v>
      </c>
      <c r="AE58" s="12">
        <f>kWh!AE58*('Elec Rates'!AE58-'CS Rates'!AE58)</f>
        <v>474.39</v>
      </c>
      <c r="AF58" s="12">
        <f>kWh!AF58*('Elec Rates'!AF58-'CS Rates'!AF58)</f>
        <v>0.46400000000000002</v>
      </c>
      <c r="AG58" s="12">
        <f>kWh!AG58*('Elec Rates'!AG58-'CS Rates'!AG58)</f>
        <v>226.87499999999991</v>
      </c>
      <c r="AH58" s="12">
        <f>kWh!AH58*('Elec Rates'!AH58-'CS Rates'!AH58)</f>
        <v>32.939999999999991</v>
      </c>
      <c r="AI58" s="12">
        <f>kWh!AI58*('Elec Rates'!AI58-'CS Rates'!AI58)</f>
        <v>27.43399999999999</v>
      </c>
      <c r="AJ58" s="12">
        <f>kWh!AJ58*('Elec Rates'!AJ58-'CS Rates'!AJ58)</f>
        <v>0</v>
      </c>
      <c r="AK58" s="12">
        <f>kWh!AK58*('Elec Rates'!AK58-'CS Rates'!AK58)</f>
        <v>0</v>
      </c>
      <c r="AL58" s="12">
        <f>kWh!AL58*('Elec Rates'!AL58-'CS Rates'!AL58)</f>
        <v>0</v>
      </c>
      <c r="AM58" s="12">
        <f>kWh!AM58*('Elec Rates'!AM58-'CS Rates'!AM58)</f>
        <v>0</v>
      </c>
      <c r="AN58" s="12">
        <f>kWh!AN58*('Elec Rates'!AN58-'CS Rates'!AN58)</f>
        <v>0</v>
      </c>
      <c r="AO58" s="12">
        <f>kWh!AO58*('Elec Rates'!AO58-'CS Rates'!AO58)</f>
        <v>0</v>
      </c>
      <c r="AP58" s="12">
        <f>kWh!AP58*('Elec Rates'!AP58-'CS Rates'!AP58)</f>
        <v>0</v>
      </c>
      <c r="AQ58" s="12">
        <f t="shared" si="0"/>
        <v>10497.784899999997</v>
      </c>
    </row>
    <row r="59" spans="1:43" x14ac:dyDescent="0.3">
      <c r="A59" s="4">
        <v>45992</v>
      </c>
      <c r="B59" s="12">
        <f>kWh!B59*('Elec Rates'!B59-'CS Rates'!B59)</f>
        <v>158.11949999999999</v>
      </c>
      <c r="C59" s="12">
        <f>kWh!C59*('Elec Rates'!C59-'CS Rates'!C59)</f>
        <v>288.93289999999996</v>
      </c>
      <c r="D59" s="12">
        <f>kWh!D59*('Elec Rates'!D59-'CS Rates'!D59)</f>
        <v>269.52330000000001</v>
      </c>
      <c r="E59" s="12">
        <f>kWh!E59*('Elec Rates'!E59-'CS Rates'!E59)</f>
        <v>301.05849999999998</v>
      </c>
      <c r="F59" s="12">
        <f>kWh!F59*('Elec Rates'!F59-'CS Rates'!F59)</f>
        <v>229.71179999999998</v>
      </c>
      <c r="G59" s="12">
        <f>kWh!G59*('Elec Rates'!G59-'CS Rates'!G59)</f>
        <v>75.350099999999983</v>
      </c>
      <c r="H59" s="12">
        <f>kWh!H59*('Elec Rates'!H59-'CS Rates'!H59)</f>
        <v>492.11340000000007</v>
      </c>
      <c r="I59" s="12">
        <f>kWh!I59*('Elec Rates'!I59-'CS Rates'!I59)</f>
        <v>12.071999999999983</v>
      </c>
      <c r="J59" s="12">
        <f>kWh!J59*('Elec Rates'!J59-'CS Rates'!J59)</f>
        <v>-17.331000000000014</v>
      </c>
      <c r="K59" s="12">
        <f>kWh!K59*('Elec Rates'!K59-'CS Rates'!K59)</f>
        <v>228.79999999999995</v>
      </c>
      <c r="L59" s="12">
        <f>kWh!L59*('Elec Rates'!L59-'CS Rates'!L59)</f>
        <v>-21.34200000000002</v>
      </c>
      <c r="M59" s="12">
        <f>kWh!M59*('Elec Rates'!M59-'CS Rates'!M59)</f>
        <v>199.77499999999995</v>
      </c>
      <c r="N59" s="12">
        <f>kWh!N59*('Elec Rates'!N59-'CS Rates'!N59)</f>
        <v>627.03899999999987</v>
      </c>
      <c r="O59" s="12">
        <f>kWh!O59*('Elec Rates'!O59-'CS Rates'!O59)</f>
        <v>76.284000000000006</v>
      </c>
      <c r="P59" s="12">
        <f>kWh!P59*('Elec Rates'!P59-'CS Rates'!P59)</f>
        <v>-1.5030000000000014</v>
      </c>
      <c r="Q59" s="12">
        <f>kWh!Q59*('Elec Rates'!Q59-'CS Rates'!Q59)</f>
        <v>138.72</v>
      </c>
      <c r="R59" s="12">
        <f>kWh!R59*('Elec Rates'!R59-'CS Rates'!R59)</f>
        <v>324.03199999999993</v>
      </c>
      <c r="S59" s="12">
        <f>kWh!S59*('Elec Rates'!S59-'CS Rates'!S59)</f>
        <v>156.88</v>
      </c>
      <c r="T59" s="12">
        <f>kWh!T59*('Elec Rates'!T59-'CS Rates'!T59)</f>
        <v>170</v>
      </c>
      <c r="U59" s="12">
        <f>kWh!U59*('Elec Rates'!U59-'CS Rates'!U59)</f>
        <v>81.514999999999972</v>
      </c>
      <c r="V59" s="12">
        <f>kWh!V59*('Elec Rates'!V59-'CS Rates'!V59)</f>
        <v>375.2399999999999</v>
      </c>
      <c r="W59" s="12">
        <f>kWh!W59*('Elec Rates'!W59-'CS Rates'!W59)</f>
        <v>203.535</v>
      </c>
      <c r="X59" s="12">
        <f>kWh!X59*('Elec Rates'!X59-'CS Rates'!X59)</f>
        <v>246.81600000000009</v>
      </c>
      <c r="Y59" s="12">
        <f>kWh!Y59*('Elec Rates'!Y59-'CS Rates'!Y59)</f>
        <v>191.05500000000001</v>
      </c>
      <c r="Z59" s="12">
        <f>kWh!Z59*('Elec Rates'!Z59-'CS Rates'!Z59)</f>
        <v>37.862000000000009</v>
      </c>
      <c r="AA59" s="12">
        <f>kWh!AA59*('Elec Rates'!AA59-'CS Rates'!AA59)</f>
        <v>314.4899999999999</v>
      </c>
      <c r="AB59" s="12">
        <f>kWh!AB59*('Elec Rates'!AB59-'CS Rates'!AB59)</f>
        <v>3.440999999999987</v>
      </c>
      <c r="AC59" s="12">
        <f>kWh!AC59*('Elec Rates'!AC59-'CS Rates'!AC59)</f>
        <v>810.81899999999996</v>
      </c>
      <c r="AD59" s="12">
        <f>kWh!AD59*('Elec Rates'!AD59-'CS Rates'!AD59)</f>
        <v>580.25399999999991</v>
      </c>
      <c r="AE59" s="12">
        <f>kWh!AE59*('Elec Rates'!AE59-'CS Rates'!AE59)</f>
        <v>322.17599999999999</v>
      </c>
      <c r="AF59" s="12">
        <f>kWh!AF59*('Elec Rates'!AF59-'CS Rates'!AF59)</f>
        <v>133.66</v>
      </c>
      <c r="AG59" s="12">
        <f>kWh!AG59*('Elec Rates'!AG59-'CS Rates'!AG59)</f>
        <v>170.47599999999994</v>
      </c>
      <c r="AH59" s="12">
        <f>kWh!AH59*('Elec Rates'!AH59-'CS Rates'!AH59)</f>
        <v>285.94399999999996</v>
      </c>
      <c r="AI59" s="12">
        <f>kWh!AI59*('Elec Rates'!AI59-'CS Rates'!AI59)</f>
        <v>3.5620000000000029</v>
      </c>
      <c r="AJ59" s="12">
        <f>kWh!AJ59*('Elec Rates'!AJ59-'CS Rates'!AJ59)</f>
        <v>16.079999999999998</v>
      </c>
      <c r="AK59" s="12">
        <f>kWh!AK59*('Elec Rates'!AK59-'CS Rates'!AK59)</f>
        <v>0</v>
      </c>
      <c r="AL59" s="12">
        <f>kWh!AL59*('Elec Rates'!AL59-'CS Rates'!AL59)</f>
        <v>0</v>
      </c>
      <c r="AM59" s="12">
        <f>kWh!AM59*('Elec Rates'!AM59-'CS Rates'!AM59)</f>
        <v>0</v>
      </c>
      <c r="AN59" s="12">
        <f>kWh!AN59*('Elec Rates'!AN59-'CS Rates'!AN59)</f>
        <v>0</v>
      </c>
      <c r="AO59" s="12">
        <f>kWh!AO59*('Elec Rates'!AO59-'CS Rates'!AO59)</f>
        <v>0</v>
      </c>
      <c r="AP59" s="12">
        <f>kWh!AP59*('Elec Rates'!AP59-'CS Rates'!AP59)</f>
        <v>0</v>
      </c>
      <c r="AQ59" s="12">
        <f t="shared" si="0"/>
        <v>7485.1604999999981</v>
      </c>
    </row>
    <row r="60" spans="1:43" x14ac:dyDescent="0.3">
      <c r="A60" s="4">
        <v>46023</v>
      </c>
      <c r="B60" s="12">
        <f>kWh!B60*('Elec Rates'!B60-'CS Rates'!B60)</f>
        <v>178.26750000000001</v>
      </c>
      <c r="C60" s="12">
        <f>kWh!C60*('Elec Rates'!C60-'CS Rates'!C60)</f>
        <v>247.93649999999997</v>
      </c>
      <c r="D60" s="12">
        <f>kWh!D60*('Elec Rates'!D60-'CS Rates'!D60)</f>
        <v>313.83769999999998</v>
      </c>
      <c r="E60" s="12">
        <f>kWh!E60*('Elec Rates'!E60-'CS Rates'!E60)</f>
        <v>267.61889999999994</v>
      </c>
      <c r="F60" s="12">
        <f>kWh!F60*('Elec Rates'!F60-'CS Rates'!F60)</f>
        <v>237.48539999999997</v>
      </c>
      <c r="G60" s="12">
        <f>kWh!G60*('Elec Rates'!G60-'CS Rates'!G60)</f>
        <v>81.327900000000014</v>
      </c>
      <c r="H60" s="12">
        <f>kWh!H60*('Elec Rates'!H60-'CS Rates'!H60)</f>
        <v>472.26640000000003</v>
      </c>
      <c r="I60" s="12">
        <f>kWh!I60*('Elec Rates'!I60-'CS Rates'!I60)</f>
        <v>81.863999999999976</v>
      </c>
      <c r="J60" s="12">
        <f>kWh!J60*('Elec Rates'!J60-'CS Rates'!J60)</f>
        <v>19.121999999999929</v>
      </c>
      <c r="K60" s="12">
        <f>kWh!K60*('Elec Rates'!K60-'CS Rates'!K60)</f>
        <v>114.13199999999983</v>
      </c>
      <c r="L60" s="12">
        <f>kWh!L60*('Elec Rates'!L60-'CS Rates'!L60)</f>
        <v>-46.496000000000038</v>
      </c>
      <c r="M60" s="12">
        <f>kWh!M60*('Elec Rates'!M60-'CS Rates'!M60)</f>
        <v>163.48499999999999</v>
      </c>
      <c r="N60" s="12">
        <f>kWh!N60*('Elec Rates'!N60-'CS Rates'!N60)</f>
        <v>615.25799999999981</v>
      </c>
      <c r="O60" s="12">
        <f>kWh!O60*('Elec Rates'!O60-'CS Rates'!O60)</f>
        <v>42.561999999999969</v>
      </c>
      <c r="P60" s="12">
        <f>kWh!P60*('Elec Rates'!P60-'CS Rates'!P60)</f>
        <v>-7.6520000000000064</v>
      </c>
      <c r="Q60" s="12">
        <f>kWh!Q60*('Elec Rates'!Q60-'CS Rates'!Q60)</f>
        <v>351.67999999999989</v>
      </c>
      <c r="R60" s="12">
        <f>kWh!R60*('Elec Rates'!R60-'CS Rates'!R60)</f>
        <v>465.23099999999999</v>
      </c>
      <c r="S60" s="12">
        <f>kWh!S60*('Elec Rates'!S60-'CS Rates'!S60)</f>
        <v>108.34999999999995</v>
      </c>
      <c r="T60" s="12">
        <f>kWh!T60*('Elec Rates'!T60-'CS Rates'!T60)</f>
        <v>176.84999999999997</v>
      </c>
      <c r="U60" s="12">
        <f>kWh!U60*('Elec Rates'!U60-'CS Rates'!U60)</f>
        <v>108.03999999999998</v>
      </c>
      <c r="V60" s="12">
        <f>kWh!V60*('Elec Rates'!V60-'CS Rates'!V60)</f>
        <v>348.25</v>
      </c>
      <c r="W60" s="12">
        <f>kWh!W60*('Elec Rates'!W60-'CS Rates'!W60)</f>
        <v>167.52399999999992</v>
      </c>
      <c r="X60" s="12">
        <f>kWh!X60*('Elec Rates'!X60-'CS Rates'!X60)</f>
        <v>333.53999999999985</v>
      </c>
      <c r="Y60" s="12">
        <f>kWh!Y60*('Elec Rates'!Y60-'CS Rates'!Y60)</f>
        <v>201.39000000000001</v>
      </c>
      <c r="Z60" s="12">
        <f>kWh!Z60*('Elec Rates'!Z60-'CS Rates'!Z60)</f>
        <v>26.795999999999996</v>
      </c>
      <c r="AA60" s="12">
        <f>kWh!AA60*('Elec Rates'!AA60-'CS Rates'!AA60)</f>
        <v>412.19099999999992</v>
      </c>
      <c r="AB60" s="12">
        <f>kWh!AB60*('Elec Rates'!AB60-'CS Rates'!AB60)</f>
        <v>0</v>
      </c>
      <c r="AC60" s="12">
        <f>kWh!AC60*('Elec Rates'!AC60-'CS Rates'!AC60)</f>
        <v>906.56399999999974</v>
      </c>
      <c r="AD60" s="12">
        <f>kWh!AD60*('Elec Rates'!AD60-'CS Rates'!AD60)</f>
        <v>630.01499999999987</v>
      </c>
      <c r="AE60" s="12">
        <f>kWh!AE60*('Elec Rates'!AE60-'CS Rates'!AE60)</f>
        <v>408.76</v>
      </c>
      <c r="AF60" s="12">
        <f>kWh!AF60*('Elec Rates'!AF60-'CS Rates'!AF60)</f>
        <v>184.98599999999999</v>
      </c>
      <c r="AG60" s="12">
        <f>kWh!AG60*('Elec Rates'!AG60-'CS Rates'!AG60)</f>
        <v>199.64799999999994</v>
      </c>
      <c r="AH60" s="12">
        <f>kWh!AH60*('Elec Rates'!AH60-'CS Rates'!AH60)</f>
        <v>354.10500000000002</v>
      </c>
      <c r="AI60" s="12">
        <f>kWh!AI60*('Elec Rates'!AI60-'CS Rates'!AI60)</f>
        <v>0</v>
      </c>
      <c r="AJ60" s="12">
        <f>kWh!AJ60*('Elec Rates'!AJ60-'CS Rates'!AJ60)</f>
        <v>181.81800000000001</v>
      </c>
      <c r="AK60" s="12">
        <f>kWh!AK60*('Elec Rates'!AK60-'CS Rates'!AK60)</f>
        <v>20.124999999999961</v>
      </c>
      <c r="AL60" s="12">
        <f>kWh!AL60*('Elec Rates'!AL60-'CS Rates'!AL60)</f>
        <v>-38.024999999999999</v>
      </c>
      <c r="AM60" s="12">
        <f>kWh!AM60*('Elec Rates'!AM60-'CS Rates'!AM60)</f>
        <v>0</v>
      </c>
      <c r="AN60" s="12">
        <f>kWh!AN60*('Elec Rates'!AN60-'CS Rates'!AN60)</f>
        <v>0</v>
      </c>
      <c r="AO60" s="12">
        <f>kWh!AO60*('Elec Rates'!AO60-'CS Rates'!AO60)</f>
        <v>0</v>
      </c>
      <c r="AP60" s="12">
        <f>kWh!AP60*('Elec Rates'!AP60-'CS Rates'!AP60)</f>
        <v>0</v>
      </c>
      <c r="AQ60" s="12">
        <f t="shared" si="0"/>
        <v>8328.8532999999989</v>
      </c>
    </row>
    <row r="61" spans="1:43" x14ac:dyDescent="0.3">
      <c r="A61" s="4">
        <v>46054</v>
      </c>
      <c r="B61" s="12">
        <f>kWh!B61*('Elec Rates'!B61-'CS Rates'!B61)</f>
        <v>244.52119999999996</v>
      </c>
      <c r="C61" s="12">
        <f>kWh!C61*('Elec Rates'!C61-'CS Rates'!C61)</f>
        <v>368.41629999999992</v>
      </c>
      <c r="D61" s="12">
        <f>kWh!D61*('Elec Rates'!D61-'CS Rates'!D61)</f>
        <v>385.39140000000003</v>
      </c>
      <c r="E61" s="12">
        <f>kWh!E61*('Elec Rates'!E61-'CS Rates'!E61)</f>
        <v>331.82769999999994</v>
      </c>
      <c r="F61" s="12">
        <f>kWh!F61*('Elec Rates'!F61-'CS Rates'!F61)</f>
        <v>377.68639999999994</v>
      </c>
      <c r="G61" s="12">
        <f>kWh!G61*('Elec Rates'!G61-'CS Rates'!G61)</f>
        <v>100.06059999999998</v>
      </c>
      <c r="H61" s="12">
        <f>kWh!H61*('Elec Rates'!H61-'CS Rates'!H61)</f>
        <v>604.86320000000001</v>
      </c>
      <c r="I61" s="12">
        <f>kWh!I61*('Elec Rates'!I61-'CS Rates'!I61)</f>
        <v>117.58799999999998</v>
      </c>
      <c r="J61" s="12">
        <f>kWh!J61*('Elec Rates'!J61-'CS Rates'!J61)</f>
        <v>67.121999999999957</v>
      </c>
      <c r="K61" s="12">
        <f>kWh!K61*('Elec Rates'!K61-'CS Rates'!K61)</f>
        <v>705.02999999999963</v>
      </c>
      <c r="L61" s="12">
        <f>kWh!L61*('Elec Rates'!L61-'CS Rates'!L61)</f>
        <v>-26.462000000000025</v>
      </c>
      <c r="M61" s="12">
        <f>kWh!M61*('Elec Rates'!M61-'CS Rates'!M61)</f>
        <v>267.53999999999991</v>
      </c>
      <c r="N61" s="12">
        <f>kWh!N61*('Elec Rates'!N61-'CS Rates'!N61)</f>
        <v>1014.586</v>
      </c>
      <c r="O61" s="12">
        <f>kWh!O61*('Elec Rates'!O61-'CS Rates'!O61)</f>
        <v>87.78</v>
      </c>
      <c r="P61" s="12">
        <f>kWh!P61*('Elec Rates'!P61-'CS Rates'!P61)</f>
        <v>26.78999999999996</v>
      </c>
      <c r="Q61" s="12">
        <f>kWh!Q61*('Elec Rates'!Q61-'CS Rates'!Q61)</f>
        <v>682.24800000000005</v>
      </c>
      <c r="R61" s="12">
        <f>kWh!R61*('Elec Rates'!R61-'CS Rates'!R61)</f>
        <v>619.3950000000001</v>
      </c>
      <c r="S61" s="12">
        <f>kWh!S61*('Elec Rates'!S61-'CS Rates'!S61)</f>
        <v>168.25899999999996</v>
      </c>
      <c r="T61" s="12">
        <f>kWh!T61*('Elec Rates'!T61-'CS Rates'!T61)</f>
        <v>329.86799999999999</v>
      </c>
      <c r="U61" s="12">
        <f>kWh!U61*('Elec Rates'!U61-'CS Rates'!U61)</f>
        <v>216.05999999999997</v>
      </c>
      <c r="V61" s="12">
        <f>kWh!V61*('Elec Rates'!V61-'CS Rates'!V61)</f>
        <v>479.82599999999985</v>
      </c>
      <c r="W61" s="12">
        <f>kWh!W61*('Elec Rates'!W61-'CS Rates'!W61)</f>
        <v>463.18199999999985</v>
      </c>
      <c r="X61" s="12">
        <f>kWh!X61*('Elec Rates'!X61-'CS Rates'!X61)</f>
        <v>377.52399999999977</v>
      </c>
      <c r="Y61" s="12">
        <f>kWh!Y61*('Elec Rates'!Y61-'CS Rates'!Y61)</f>
        <v>233.49</v>
      </c>
      <c r="Z61" s="12">
        <f>kWh!Z61*('Elec Rates'!Z61-'CS Rates'!Z61)</f>
        <v>146.25799999999995</v>
      </c>
      <c r="AA61" s="12">
        <f>kWh!AA61*('Elec Rates'!AA61-'CS Rates'!AA61)</f>
        <v>685.9620000000001</v>
      </c>
      <c r="AB61" s="12">
        <f>kWh!AB61*('Elec Rates'!AB61-'CS Rates'!AB61)</f>
        <v>8.0119999999999791</v>
      </c>
      <c r="AC61" s="12">
        <f>kWh!AC61*('Elec Rates'!AC61-'CS Rates'!AC61)</f>
        <v>1137.829</v>
      </c>
      <c r="AD61" s="12">
        <f>kWh!AD61*('Elec Rates'!AD61-'CS Rates'!AD61)</f>
        <v>747.96600000000001</v>
      </c>
      <c r="AE61" s="12">
        <f>kWh!AE61*('Elec Rates'!AE61-'CS Rates'!AE61)</f>
        <v>472.18799999999999</v>
      </c>
      <c r="AF61" s="12">
        <f>kWh!AF61*('Elec Rates'!AF61-'CS Rates'!AF61)</f>
        <v>210.12799999999999</v>
      </c>
      <c r="AG61" s="12">
        <f>kWh!AG61*('Elec Rates'!AG61-'CS Rates'!AG61)</f>
        <v>235.58499999999992</v>
      </c>
      <c r="AH61" s="12">
        <f>kWh!AH61*('Elec Rates'!AH61-'CS Rates'!AH61)</f>
        <v>415.488</v>
      </c>
      <c r="AI61" s="12">
        <f>kWh!AI61*('Elec Rates'!AI61-'CS Rates'!AI61)</f>
        <v>31.16299999999999</v>
      </c>
      <c r="AJ61" s="12">
        <f>kWh!AJ61*('Elec Rates'!AJ61-'CS Rates'!AJ61)</f>
        <v>241.68</v>
      </c>
      <c r="AK61" s="12">
        <f>kWh!AK61*('Elec Rates'!AK61-'CS Rates'!AK61)</f>
        <v>45.296999999999947</v>
      </c>
      <c r="AL61" s="12">
        <f>kWh!AL61*('Elec Rates'!AL61-'CS Rates'!AL61)</f>
        <v>-62.842000000000056</v>
      </c>
      <c r="AM61" s="12">
        <f>kWh!AM61*('Elec Rates'!AM61-'CS Rates'!AM61)</f>
        <v>0</v>
      </c>
      <c r="AN61" s="12">
        <f>kWh!AN61*('Elec Rates'!AN61-'CS Rates'!AN61)</f>
        <v>122.07399999999998</v>
      </c>
      <c r="AO61" s="12">
        <f>kWh!AO61*('Elec Rates'!AO61-'CS Rates'!AO61)</f>
        <v>0</v>
      </c>
      <c r="AP61" s="12">
        <f>kWh!AP61*('Elec Rates'!AP61-'CS Rates'!AP61)</f>
        <v>0</v>
      </c>
      <c r="AQ61" s="12">
        <f t="shared" si="0"/>
        <v>12679.380800000001</v>
      </c>
    </row>
    <row r="62" spans="1:43" x14ac:dyDescent="0.3">
      <c r="A62" s="4">
        <v>46082</v>
      </c>
      <c r="B62" s="12">
        <f>kWh!B62*('Elec Rates'!B62-'CS Rates'!B62)</f>
        <v>335.39229999999992</v>
      </c>
      <c r="C62" s="12">
        <f>kWh!C62*('Elec Rates'!C62-'CS Rates'!C62)</f>
        <v>580.12569999999994</v>
      </c>
      <c r="D62" s="12">
        <f>kWh!D62*('Elec Rates'!D62-'CS Rates'!D62)</f>
        <v>583.78199999999981</v>
      </c>
      <c r="E62" s="12">
        <f>kWh!E62*('Elec Rates'!E62-'CS Rates'!E62)</f>
        <v>403.19319999999999</v>
      </c>
      <c r="F62" s="12">
        <f>kWh!F62*('Elec Rates'!F62-'CS Rates'!F62)</f>
        <v>605.87099999999998</v>
      </c>
      <c r="G62" s="12">
        <f>kWh!G62*('Elec Rates'!G62-'CS Rates'!G62)</f>
        <v>131.92080000000001</v>
      </c>
      <c r="H62" s="12">
        <f>kWh!H62*('Elec Rates'!H62-'CS Rates'!H62)</f>
        <v>824.36</v>
      </c>
      <c r="I62" s="12">
        <f>kWh!I62*('Elec Rates'!I62-'CS Rates'!I62)</f>
        <v>193.44</v>
      </c>
      <c r="J62" s="12">
        <f>kWh!J62*('Elec Rates'!J62-'CS Rates'!J62)</f>
        <v>241.20000000000007</v>
      </c>
      <c r="K62" s="12">
        <f>kWh!K62*('Elec Rates'!K62-'CS Rates'!K62)</f>
        <v>806.60000000000025</v>
      </c>
      <c r="L62" s="12">
        <f>kWh!L62*('Elec Rates'!L62-'CS Rates'!L62)</f>
        <v>34.760000000000034</v>
      </c>
      <c r="M62" s="12">
        <f>kWh!M62*('Elec Rates'!M62-'CS Rates'!M62)</f>
        <v>330.65699999999987</v>
      </c>
      <c r="N62" s="12">
        <f>kWh!N62*('Elec Rates'!N62-'CS Rates'!N62)</f>
        <v>1041.9839999999997</v>
      </c>
      <c r="O62" s="12">
        <f>kWh!O62*('Elec Rates'!O62-'CS Rates'!O62)</f>
        <v>88.411999999999964</v>
      </c>
      <c r="P62" s="12">
        <f>kWh!P62*('Elec Rates'!P62-'CS Rates'!P62)</f>
        <v>117.23000000000002</v>
      </c>
      <c r="Q62" s="12">
        <f>kWh!Q62*('Elec Rates'!Q62-'CS Rates'!Q62)</f>
        <v>531.10399999999981</v>
      </c>
      <c r="R62" s="12">
        <f>kWh!R62*('Elec Rates'!R62-'CS Rates'!R62)</f>
        <v>842.87800000000004</v>
      </c>
      <c r="S62" s="12">
        <f>kWh!S62*('Elec Rates'!S62-'CS Rates'!S62)</f>
        <v>265.11</v>
      </c>
      <c r="T62" s="12">
        <f>kWh!T62*('Elec Rates'!T62-'CS Rates'!T62)</f>
        <v>525.82499999999993</v>
      </c>
      <c r="U62" s="12">
        <f>kWh!U62*('Elec Rates'!U62-'CS Rates'!U62)</f>
        <v>-14.100000000000012</v>
      </c>
      <c r="V62" s="12">
        <f>kWh!V62*('Elec Rates'!V62-'CS Rates'!V62)</f>
        <v>361.16899999999993</v>
      </c>
      <c r="W62" s="12">
        <f>kWh!W62*('Elec Rates'!W62-'CS Rates'!W62)</f>
        <v>803.04</v>
      </c>
      <c r="X62" s="12">
        <f>kWh!X62*('Elec Rates'!X62-'CS Rates'!X62)</f>
        <v>1399.3209999999999</v>
      </c>
      <c r="Y62" s="12">
        <f>kWh!Y62*('Elec Rates'!Y62-'CS Rates'!Y62)</f>
        <v>273.2</v>
      </c>
      <c r="Z62" s="12">
        <f>kWh!Z62*('Elec Rates'!Z62-'CS Rates'!Z62)</f>
        <v>139.15199999999999</v>
      </c>
      <c r="AA62" s="12">
        <f>kWh!AA62*('Elec Rates'!AA62-'CS Rates'!AA62)</f>
        <v>505.1759999999997</v>
      </c>
      <c r="AB62" s="12">
        <f>kWh!AB62*('Elec Rates'!AB62-'CS Rates'!AB62)</f>
        <v>9.1559999999999651</v>
      </c>
      <c r="AC62" s="12">
        <f>kWh!AC62*('Elec Rates'!AC62-'CS Rates'!AC62)</f>
        <v>1208.6099999999997</v>
      </c>
      <c r="AD62" s="12">
        <f>kWh!AD62*('Elec Rates'!AD62-'CS Rates'!AD62)</f>
        <v>911.59599999999989</v>
      </c>
      <c r="AE62" s="12">
        <f>kWh!AE62*('Elec Rates'!AE62-'CS Rates'!AE62)</f>
        <v>614.346</v>
      </c>
      <c r="AF62" s="12">
        <f>kWh!AF62*('Elec Rates'!AF62-'CS Rates'!AF62)</f>
        <v>148.68000000000004</v>
      </c>
      <c r="AG62" s="12">
        <f>kWh!AG62*('Elec Rates'!AG62-'CS Rates'!AG62)</f>
        <v>279.26999999999987</v>
      </c>
      <c r="AH62" s="12">
        <f>kWh!AH62*('Elec Rates'!AH62-'CS Rates'!AH62)</f>
        <v>547.64599999999996</v>
      </c>
      <c r="AI62" s="12">
        <f>kWh!AI62*('Elec Rates'!AI62-'CS Rates'!AI62)</f>
        <v>128.69999999999993</v>
      </c>
      <c r="AJ62" s="12">
        <f>kWh!AJ62*('Elec Rates'!AJ62-'CS Rates'!AJ62)</f>
        <v>326.298</v>
      </c>
      <c r="AK62" s="12">
        <f>kWh!AK62*('Elec Rates'!AK62-'CS Rates'!AK62)</f>
        <v>18.884000000000018</v>
      </c>
      <c r="AL62" s="12">
        <f>kWh!AL62*('Elec Rates'!AL62-'CS Rates'!AL62)</f>
        <v>-114.30000000000001</v>
      </c>
      <c r="AM62" s="12">
        <f>kWh!AM62*('Elec Rates'!AM62-'CS Rates'!AM62)</f>
        <v>0</v>
      </c>
      <c r="AN62" s="12">
        <f>kWh!AN62*('Elec Rates'!AN62-'CS Rates'!AN62)</f>
        <v>616.74300000000005</v>
      </c>
      <c r="AO62" s="12">
        <f>kWh!AO62*('Elec Rates'!AO62-'CS Rates'!AO62)</f>
        <v>0</v>
      </c>
      <c r="AP62" s="12">
        <f>kWh!AP62*('Elec Rates'!AP62-'CS Rates'!AP62)</f>
        <v>285.47099999999995</v>
      </c>
      <c r="AQ62" s="12">
        <f t="shared" si="0"/>
        <v>16931.903000000002</v>
      </c>
    </row>
    <row r="63" spans="1:43" x14ac:dyDescent="0.3">
      <c r="A63" s="4">
        <v>46113</v>
      </c>
      <c r="B63" s="12">
        <f>kWh!B63*('Elec Rates'!B63-'CS Rates'!B63)</f>
        <v>426.56000000000006</v>
      </c>
      <c r="C63" s="12">
        <f>kWh!C63*('Elec Rates'!C63-'CS Rates'!C63)</f>
        <v>564.57640000000004</v>
      </c>
      <c r="D63" s="12">
        <f>kWh!D63*('Elec Rates'!D63-'CS Rates'!D63)</f>
        <v>558.69840000000011</v>
      </c>
      <c r="E63" s="12">
        <f>kWh!E63*('Elec Rates'!E63-'CS Rates'!E63)</f>
        <v>764.1717000000001</v>
      </c>
      <c r="F63" s="12">
        <f>kWh!F63*('Elec Rates'!F63-'CS Rates'!F63)</f>
        <v>719.52240000000006</v>
      </c>
      <c r="G63" s="12">
        <f>kWh!G63*('Elec Rates'!G63-'CS Rates'!G63)</f>
        <v>161.74749999999995</v>
      </c>
      <c r="H63" s="12">
        <f>kWh!H63*('Elec Rates'!H63-'CS Rates'!H63)</f>
        <v>903.96309999999994</v>
      </c>
      <c r="I63" s="12">
        <f>kWh!I63*('Elec Rates'!I63-'CS Rates'!I63)</f>
        <v>100.40800000000003</v>
      </c>
      <c r="J63" s="12">
        <f>kWh!J63*('Elec Rates'!J63-'CS Rates'!J63)</f>
        <v>276.66700000000009</v>
      </c>
      <c r="K63" s="12">
        <f>kWh!K63*('Elec Rates'!K63-'CS Rates'!K63)</f>
        <v>1397.1569999999997</v>
      </c>
      <c r="L63" s="12">
        <f>kWh!L63*('Elec Rates'!L63-'CS Rates'!L63)</f>
        <v>363.69000000000005</v>
      </c>
      <c r="M63" s="12">
        <f>kWh!M63*('Elec Rates'!M63-'CS Rates'!M63)</f>
        <v>734.11799999999994</v>
      </c>
      <c r="N63" s="12">
        <f>kWh!N63*('Elec Rates'!N63-'CS Rates'!N63)</f>
        <v>918.95</v>
      </c>
      <c r="O63" s="12">
        <f>kWh!O63*('Elec Rates'!O63-'CS Rates'!O63)</f>
        <v>94.219999999999942</v>
      </c>
      <c r="P63" s="12">
        <f>kWh!P63*('Elec Rates'!P63-'CS Rates'!P63)</f>
        <v>-14.234000000000012</v>
      </c>
      <c r="Q63" s="12">
        <f>kWh!Q63*('Elec Rates'!Q63-'CS Rates'!Q63)</f>
        <v>539.58799999999962</v>
      </c>
      <c r="R63" s="12">
        <f>kWh!R63*('Elec Rates'!R63-'CS Rates'!R63)</f>
        <v>856.8</v>
      </c>
      <c r="S63" s="12">
        <f>kWh!S63*('Elec Rates'!S63-'CS Rates'!S63)</f>
        <v>-163.66400000000016</v>
      </c>
      <c r="T63" s="12">
        <f>kWh!T63*('Elec Rates'!T63-'CS Rates'!T63)</f>
        <v>621.02699999999993</v>
      </c>
      <c r="U63" s="12">
        <f>kWh!U63*('Elec Rates'!U63-'CS Rates'!U63)</f>
        <v>-130.52500000000003</v>
      </c>
      <c r="V63" s="12">
        <f>kWh!V63*('Elec Rates'!V63-'CS Rates'!V63)</f>
        <v>632.68400000000008</v>
      </c>
      <c r="W63" s="12">
        <f>kWh!W63*('Elec Rates'!W63-'CS Rates'!W63)</f>
        <v>1251.9880000000001</v>
      </c>
      <c r="X63" s="12">
        <f>kWh!X63*('Elec Rates'!X63-'CS Rates'!X63)</f>
        <v>1423.5539999999999</v>
      </c>
      <c r="Y63" s="12">
        <f>kWh!Y63*('Elec Rates'!Y63-'CS Rates'!Y63)</f>
        <v>175.12000000000003</v>
      </c>
      <c r="Z63" s="12">
        <f>kWh!Z63*('Elec Rates'!Z63-'CS Rates'!Z63)</f>
        <v>116.20299999999993</v>
      </c>
      <c r="AA63" s="12">
        <f>kWh!AA63*('Elec Rates'!AA63-'CS Rates'!AA63)</f>
        <v>445.62000000000012</v>
      </c>
      <c r="AB63" s="12">
        <f>kWh!AB63*('Elec Rates'!AB63-'CS Rates'!AB63)</f>
        <v>40.776999999999987</v>
      </c>
      <c r="AC63" s="12">
        <f>kWh!AC63*('Elec Rates'!AC63-'CS Rates'!AC63)</f>
        <v>572.68799999999987</v>
      </c>
      <c r="AD63" s="12">
        <f>kWh!AD63*('Elec Rates'!AD63-'CS Rates'!AD63)</f>
        <v>1126.008</v>
      </c>
      <c r="AE63" s="12">
        <f>kWh!AE63*('Elec Rates'!AE63-'CS Rates'!AE63)</f>
        <v>784.84500000000003</v>
      </c>
      <c r="AF63" s="12">
        <f>kWh!AF63*('Elec Rates'!AF63-'CS Rates'!AF63)</f>
        <v>212.37600000000006</v>
      </c>
      <c r="AG63" s="12">
        <f>kWh!AG63*('Elec Rates'!AG63-'CS Rates'!AG63)</f>
        <v>337.26999999999981</v>
      </c>
      <c r="AH63" s="12">
        <f>kWh!AH63*('Elec Rates'!AH63-'CS Rates'!AH63)</f>
        <v>649.19399999999996</v>
      </c>
      <c r="AI63" s="12">
        <f>kWh!AI63*('Elec Rates'!AI63-'CS Rates'!AI63)</f>
        <v>257.44800000000004</v>
      </c>
      <c r="AJ63" s="12">
        <f>kWh!AJ63*('Elec Rates'!AJ63-'CS Rates'!AJ63)</f>
        <v>339.89099999999991</v>
      </c>
      <c r="AK63" s="12">
        <f>kWh!AK63*('Elec Rates'!AK63-'CS Rates'!AK63)</f>
        <v>155.38899999999998</v>
      </c>
      <c r="AL63" s="12">
        <f>kWh!AL63*('Elec Rates'!AL63-'CS Rates'!AL63)</f>
        <v>-127.09200000000001</v>
      </c>
      <c r="AM63" s="12">
        <f>kWh!AM63*('Elec Rates'!AM63-'CS Rates'!AM63)</f>
        <v>0</v>
      </c>
      <c r="AN63" s="12">
        <f>kWh!AN63*('Elec Rates'!AN63-'CS Rates'!AN63)</f>
        <v>831.3</v>
      </c>
      <c r="AO63" s="12">
        <f>kWh!AO63*('Elec Rates'!AO63-'CS Rates'!AO63)</f>
        <v>6.4009999999999989</v>
      </c>
      <c r="AP63" s="12">
        <f>kWh!AP63*('Elec Rates'!AP63-'CS Rates'!AP63)</f>
        <v>360.01999999999992</v>
      </c>
      <c r="AQ63" s="12">
        <f t="shared" si="0"/>
        <v>19285.125499999998</v>
      </c>
    </row>
    <row r="64" spans="1:43" x14ac:dyDescent="0.3">
      <c r="A64" s="4">
        <v>46143</v>
      </c>
      <c r="B64" s="12">
        <f>kWh!B64*('Elec Rates'!B64-'CS Rates'!B64)</f>
        <v>333.84000000000009</v>
      </c>
      <c r="C64" s="12">
        <f>kWh!C64*('Elec Rates'!C64-'CS Rates'!C64)</f>
        <v>464.34420000000011</v>
      </c>
      <c r="D64" s="12">
        <f>kWh!D64*('Elec Rates'!D64-'CS Rates'!D64)</f>
        <v>448.93460000000005</v>
      </c>
      <c r="E64" s="12">
        <f>kWh!E64*('Elec Rates'!E64-'CS Rates'!E64)</f>
        <v>538.13499999999988</v>
      </c>
      <c r="F64" s="12">
        <f>kWh!F64*('Elec Rates'!F64-'CS Rates'!F64)</f>
        <v>609.1848</v>
      </c>
      <c r="G64" s="12">
        <f>kWh!G64*('Elec Rates'!G64-'CS Rates'!G64)</f>
        <v>128.67099999999999</v>
      </c>
      <c r="H64" s="12">
        <f>kWh!H64*('Elec Rates'!H64-'CS Rates'!H64)</f>
        <v>682.79249999999979</v>
      </c>
      <c r="I64" s="12">
        <f>kWh!I64*('Elec Rates'!I64-'CS Rates'!I64)</f>
        <v>7.0311999999999717</v>
      </c>
      <c r="J64" s="12">
        <f>kWh!J64*('Elec Rates'!J64-'CS Rates'!J64)</f>
        <v>173.92460000000005</v>
      </c>
      <c r="K64" s="12">
        <f>kWh!K64*('Elec Rates'!K64-'CS Rates'!K64)</f>
        <v>1149.3068999999998</v>
      </c>
      <c r="L64" s="12">
        <f>kWh!L64*('Elec Rates'!L64-'CS Rates'!L64)</f>
        <v>139.89359999999996</v>
      </c>
      <c r="M64" s="12">
        <f>kWh!M64*('Elec Rates'!M64-'CS Rates'!M64)</f>
        <v>489.50309999999996</v>
      </c>
      <c r="N64" s="12">
        <f>kWh!N64*('Elec Rates'!N64-'CS Rates'!N64)</f>
        <v>463.6519999999997</v>
      </c>
      <c r="O64" s="12">
        <f>kWh!O64*('Elec Rates'!O64-'CS Rates'!O64)</f>
        <v>27.530999999999981</v>
      </c>
      <c r="P64" s="12">
        <f>kWh!P64*('Elec Rates'!P64-'CS Rates'!P64)</f>
        <v>51.815999999999953</v>
      </c>
      <c r="Q64" s="12">
        <f>kWh!Q64*('Elec Rates'!Q64-'CS Rates'!Q64)</f>
        <v>872.44500000000005</v>
      </c>
      <c r="R64" s="12">
        <f>kWh!R64*('Elec Rates'!R64-'CS Rates'!R64)</f>
        <v>629.11699999999985</v>
      </c>
      <c r="S64" s="12">
        <f>kWh!S64*('Elec Rates'!S64-'CS Rates'!S64)</f>
        <v>-56.049000000000049</v>
      </c>
      <c r="T64" s="12">
        <f>kWh!T64*('Elec Rates'!T64-'CS Rates'!T64)</f>
        <v>485.94</v>
      </c>
      <c r="U64" s="12">
        <f>kWh!U64*('Elec Rates'!U64-'CS Rates'!U64)</f>
        <v>94.75200000000001</v>
      </c>
      <c r="V64" s="12">
        <f>kWh!V64*('Elec Rates'!V64-'CS Rates'!V64)</f>
        <v>461.27899999999988</v>
      </c>
      <c r="W64" s="12">
        <f>kWh!W64*('Elec Rates'!W64-'CS Rates'!W64)</f>
        <v>1102.0800000000002</v>
      </c>
      <c r="X64" s="12">
        <f>kWh!X64*('Elec Rates'!X64-'CS Rates'!X64)</f>
        <v>1039.913</v>
      </c>
      <c r="Y64" s="12">
        <f>kWh!Y64*('Elec Rates'!Y64-'CS Rates'!Y64)</f>
        <v>221.04</v>
      </c>
      <c r="Z64" s="12">
        <f>kWh!Z64*('Elec Rates'!Z64-'CS Rates'!Z64)</f>
        <v>138.88999999999996</v>
      </c>
      <c r="AA64" s="12">
        <f>kWh!AA64*('Elec Rates'!AA64-'CS Rates'!AA64)</f>
        <v>177.75899999999987</v>
      </c>
      <c r="AB64" s="12">
        <f>kWh!AB64*('Elec Rates'!AB64-'CS Rates'!AB64)</f>
        <v>14.255999999999963</v>
      </c>
      <c r="AC64" s="12">
        <f>kWh!AC64*('Elec Rates'!AC64-'CS Rates'!AC64)</f>
        <v>843.67799999999966</v>
      </c>
      <c r="AD64" s="12">
        <f>kWh!AD64*('Elec Rates'!AD64-'CS Rates'!AD64)</f>
        <v>991.07399999999984</v>
      </c>
      <c r="AE64" s="12">
        <f>kWh!AE64*('Elec Rates'!AE64-'CS Rates'!AE64)</f>
        <v>711.64599999999996</v>
      </c>
      <c r="AF64" s="12">
        <f>kWh!AF64*('Elec Rates'!AF64-'CS Rates'!AF64)</f>
        <v>98.59199999999997</v>
      </c>
      <c r="AG64" s="12">
        <f>kWh!AG64*('Elec Rates'!AG64-'CS Rates'!AG64)</f>
        <v>96.317999999999941</v>
      </c>
      <c r="AH64" s="12">
        <f>kWh!AH64*('Elec Rates'!AH64-'CS Rates'!AH64)</f>
        <v>594.88100000000009</v>
      </c>
      <c r="AI64" s="12">
        <f>kWh!AI64*('Elec Rates'!AI64-'CS Rates'!AI64)</f>
        <v>306.36799999999994</v>
      </c>
      <c r="AJ64" s="12">
        <f>kWh!AJ64*('Elec Rates'!AJ64-'CS Rates'!AJ64)</f>
        <v>472.15000000000003</v>
      </c>
      <c r="AK64" s="12">
        <f>kWh!AK64*('Elec Rates'!AK64-'CS Rates'!AK64)</f>
        <v>125.32299999999995</v>
      </c>
      <c r="AL64" s="12">
        <f>kWh!AL64*('Elec Rates'!AL64-'CS Rates'!AL64)</f>
        <v>-74.404000000000067</v>
      </c>
      <c r="AM64" s="12">
        <f>kWh!AM64*('Elec Rates'!AM64-'CS Rates'!AM64)</f>
        <v>21.159999999999989</v>
      </c>
      <c r="AN64" s="12">
        <f>kWh!AN64*('Elec Rates'!AN64-'CS Rates'!AN64)</f>
        <v>741.02399999999989</v>
      </c>
      <c r="AO64" s="12">
        <f>kWh!AO64*('Elec Rates'!AO64-'CS Rates'!AO64)</f>
        <v>83.555999999999983</v>
      </c>
      <c r="AP64" s="12">
        <f>kWh!AP64*('Elec Rates'!AP64-'CS Rates'!AP64)</f>
        <v>375.84</v>
      </c>
      <c r="AQ64" s="12">
        <f t="shared" si="0"/>
        <v>16277.188499999998</v>
      </c>
    </row>
    <row r="65" spans="1:43" x14ac:dyDescent="0.3">
      <c r="A65" s="4">
        <v>46174</v>
      </c>
      <c r="B65" s="12">
        <f>kWh!B65*('Elec Rates'!B65-'CS Rates'!B65)</f>
        <v>918.47820000000002</v>
      </c>
      <c r="C65" s="12">
        <f>kWh!C65*('Elec Rates'!C65-'CS Rates'!C65)</f>
        <v>520.26900000000012</v>
      </c>
      <c r="D65" s="12">
        <f>kWh!D65*('Elec Rates'!D65-'CS Rates'!D65)</f>
        <v>1411.3603999999998</v>
      </c>
      <c r="E65" s="12">
        <f>kWh!E65*('Elec Rates'!E65-'CS Rates'!E65)</f>
        <v>1593.7088999999999</v>
      </c>
      <c r="F65" s="12">
        <f>kWh!F65*('Elec Rates'!F65-'CS Rates'!F65)</f>
        <v>635.49529999999993</v>
      </c>
      <c r="G65" s="12">
        <f>kWh!G65*('Elec Rates'!G65-'CS Rates'!G65)</f>
        <v>331.5077</v>
      </c>
      <c r="H65" s="12">
        <f>kWh!H65*('Elec Rates'!H65-'CS Rates'!H65)</f>
        <v>689.31869999999981</v>
      </c>
      <c r="I65" s="12">
        <f>kWh!I65*('Elec Rates'!I65-'CS Rates'!I65)</f>
        <v>27.945699999999992</v>
      </c>
      <c r="J65" s="12">
        <f>kWh!J65*('Elec Rates'!J65-'CS Rates'!J65)</f>
        <v>180.59710000000007</v>
      </c>
      <c r="K65" s="12">
        <f>kWh!K65*('Elec Rates'!K65-'CS Rates'!K65)</f>
        <v>1382.1317999999999</v>
      </c>
      <c r="L65" s="12">
        <f>kWh!L65*('Elec Rates'!L65-'CS Rates'!L65)</f>
        <v>175.73490000000001</v>
      </c>
      <c r="M65" s="12">
        <f>kWh!M65*('Elec Rates'!M65-'CS Rates'!M65)</f>
        <v>392.19389999999993</v>
      </c>
      <c r="N65" s="12">
        <f>kWh!N65*('Elec Rates'!N65-'CS Rates'!N65)</f>
        <v>330.48720000000014</v>
      </c>
      <c r="O65" s="12">
        <f>kWh!O65*('Elec Rates'!O65-'CS Rates'!O65)</f>
        <v>300.44279999999998</v>
      </c>
      <c r="P65" s="12">
        <f>kWh!P65*('Elec Rates'!P65-'CS Rates'!P65)</f>
        <v>53.455999999999953</v>
      </c>
      <c r="Q65" s="12">
        <f>kWh!Q65*('Elec Rates'!Q65-'CS Rates'!Q65)</f>
        <v>1186.2134999999998</v>
      </c>
      <c r="R65" s="12">
        <f>kWh!R65*('Elec Rates'!R65-'CS Rates'!R65)</f>
        <v>322.97299999999984</v>
      </c>
      <c r="S65" s="12">
        <f>kWh!S65*('Elec Rates'!S65-'CS Rates'!S65)</f>
        <v>-140.84800000000013</v>
      </c>
      <c r="T65" s="12">
        <f>kWh!T65*('Elec Rates'!T65-'CS Rates'!T65)</f>
        <v>541.65</v>
      </c>
      <c r="U65" s="12">
        <f>kWh!U65*('Elec Rates'!U65-'CS Rates'!U65)</f>
        <v>98.100000000000009</v>
      </c>
      <c r="V65" s="12">
        <f>kWh!V65*('Elec Rates'!V65-'CS Rates'!V65)</f>
        <v>378.98999999999984</v>
      </c>
      <c r="W65" s="12">
        <f>kWh!W65*('Elec Rates'!W65-'CS Rates'!W65)</f>
        <v>1127.8870000000002</v>
      </c>
      <c r="X65" s="12">
        <f>kWh!X65*('Elec Rates'!X65-'CS Rates'!X65)</f>
        <v>1016.3810000000001</v>
      </c>
      <c r="Y65" s="12">
        <f>kWh!Y65*('Elec Rates'!Y65-'CS Rates'!Y65)</f>
        <v>297.31009999999998</v>
      </c>
      <c r="Z65" s="12">
        <f>kWh!Z65*('Elec Rates'!Z65-'CS Rates'!Z65)</f>
        <v>142.38599999999997</v>
      </c>
      <c r="AA65" s="12">
        <f>kWh!AA65*('Elec Rates'!AA65-'CS Rates'!AA65)</f>
        <v>-242.46990000000011</v>
      </c>
      <c r="AB65" s="12">
        <f>kWh!AB65*('Elec Rates'!AB65-'CS Rates'!AB65)</f>
        <v>350.79999999999995</v>
      </c>
      <c r="AC65" s="12">
        <f>kWh!AC65*('Elec Rates'!AC65-'CS Rates'!AC65)</f>
        <v>416.84800000000001</v>
      </c>
      <c r="AD65" s="12">
        <f>kWh!AD65*('Elec Rates'!AD65-'CS Rates'!AD65)</f>
        <v>1024.5999999999999</v>
      </c>
      <c r="AE65" s="12">
        <f>kWh!AE65*('Elec Rates'!AE65-'CS Rates'!AE65)</f>
        <v>689.18499999999995</v>
      </c>
      <c r="AF65" s="12">
        <f>kWh!AF65*('Elec Rates'!AF65-'CS Rates'!AF65)</f>
        <v>139.536</v>
      </c>
      <c r="AG65" s="12">
        <f>kWh!AG65*('Elec Rates'!AG65-'CS Rates'!AG65)</f>
        <v>98.504999999999939</v>
      </c>
      <c r="AH65" s="12">
        <f>kWh!AH65*('Elec Rates'!AH65-'CS Rates'!AH65)</f>
        <v>629.7639999999999</v>
      </c>
      <c r="AI65" s="12">
        <f>kWh!AI65*('Elec Rates'!AI65-'CS Rates'!AI65)</f>
        <v>393.41700000000003</v>
      </c>
      <c r="AJ65" s="12">
        <f>kWh!AJ65*('Elec Rates'!AJ65-'CS Rates'!AJ65)</f>
        <v>408.87</v>
      </c>
      <c r="AK65" s="12">
        <f>kWh!AK65*('Elec Rates'!AK65-'CS Rates'!AK65)</f>
        <v>134.66199999999995</v>
      </c>
      <c r="AL65" s="12">
        <f>kWh!AL65*('Elec Rates'!AL65-'CS Rates'!AL65)</f>
        <v>-75.933000000000064</v>
      </c>
      <c r="AM65" s="12">
        <f>kWh!AM65*('Elec Rates'!AM65-'CS Rates'!AM65)</f>
        <v>61.200000000000017</v>
      </c>
      <c r="AN65" s="12">
        <f>kWh!AN65*('Elec Rates'!AN65-'CS Rates'!AN65)</f>
        <v>358.70599999999996</v>
      </c>
      <c r="AO65" s="12">
        <f>kWh!AO65*('Elec Rates'!AO65-'CS Rates'!AO65)</f>
        <v>280.72199999999998</v>
      </c>
      <c r="AP65" s="12">
        <f>kWh!AP65*('Elec Rates'!AP65-'CS Rates'!AP65)</f>
        <v>377.19</v>
      </c>
      <c r="AQ65" s="12">
        <f>SUM(B65:AP65)</f>
        <v>18959.772299999997</v>
      </c>
    </row>
  </sheetData>
  <mergeCells count="1">
    <mergeCell ref="B1:AQ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DD88-8725-48D1-B150-AA7C89ACDC3A}">
  <dimension ref="A1:C58"/>
  <sheetViews>
    <sheetView workbookViewId="0">
      <selection activeCell="C13" sqref="C13"/>
    </sheetView>
  </sheetViews>
  <sheetFormatPr defaultColWidth="9.109375" defaultRowHeight="14.4" x14ac:dyDescent="0.3"/>
  <cols>
    <col min="1" max="1" width="9.109375" style="1"/>
    <col min="2" max="2" width="18" style="1" customWidth="1"/>
    <col min="3" max="3" width="17" style="1" customWidth="1"/>
    <col min="4" max="16384" width="9.109375" style="1"/>
  </cols>
  <sheetData>
    <row r="1" spans="1:3" x14ac:dyDescent="0.3">
      <c r="A1" s="3" t="s">
        <v>7</v>
      </c>
      <c r="B1" s="13" t="s">
        <v>24</v>
      </c>
      <c r="C1" s="13" t="s">
        <v>23</v>
      </c>
    </row>
    <row r="2" spans="1:3" x14ac:dyDescent="0.3">
      <c r="A2" s="4">
        <v>44287</v>
      </c>
      <c r="B2" s="14">
        <v>22558.3</v>
      </c>
      <c r="C2" s="12">
        <v>945.35639999999978</v>
      </c>
    </row>
    <row r="3" spans="1:3" x14ac:dyDescent="0.3">
      <c r="A3" s="4">
        <v>44317</v>
      </c>
      <c r="B3" s="14">
        <v>34844.6</v>
      </c>
      <c r="C3" s="12">
        <v>1466.6979999999996</v>
      </c>
    </row>
    <row r="4" spans="1:3" x14ac:dyDescent="0.3">
      <c r="A4" s="4">
        <v>44348</v>
      </c>
      <c r="B4" s="14">
        <v>38075.1</v>
      </c>
      <c r="C4" s="12">
        <v>2330.4191999999998</v>
      </c>
    </row>
    <row r="5" spans="1:3" x14ac:dyDescent="0.3">
      <c r="A5" s="4">
        <v>44378</v>
      </c>
      <c r="B5" s="14">
        <v>37293.199999999997</v>
      </c>
      <c r="C5" s="12">
        <v>1753.7937999999995</v>
      </c>
    </row>
    <row r="6" spans="1:3" x14ac:dyDescent="0.3">
      <c r="A6" s="4">
        <v>44409</v>
      </c>
      <c r="B6" s="14">
        <v>40100</v>
      </c>
      <c r="C6" s="12">
        <v>2284.8728000000001</v>
      </c>
    </row>
    <row r="7" spans="1:3" x14ac:dyDescent="0.3">
      <c r="A7" s="4">
        <v>44440</v>
      </c>
      <c r="B7" s="14">
        <v>26273</v>
      </c>
      <c r="C7" s="12">
        <v>1586.779</v>
      </c>
    </row>
    <row r="8" spans="1:3" x14ac:dyDescent="0.3">
      <c r="A8" s="4">
        <v>44470</v>
      </c>
      <c r="B8" s="14">
        <v>35622</v>
      </c>
      <c r="C8" s="12">
        <v>1059.9419999999998</v>
      </c>
    </row>
    <row r="9" spans="1:3" x14ac:dyDescent="0.3">
      <c r="A9" s="4">
        <v>44501</v>
      </c>
      <c r="B9" s="14">
        <v>34343</v>
      </c>
      <c r="C9" s="12">
        <v>853.29399999999976</v>
      </c>
    </row>
    <row r="10" spans="1:3" x14ac:dyDescent="0.3">
      <c r="A10" s="4">
        <v>44531</v>
      </c>
      <c r="B10" s="14">
        <v>22403</v>
      </c>
      <c r="C10" s="12">
        <v>762.97699999999975</v>
      </c>
    </row>
    <row r="11" spans="1:3" x14ac:dyDescent="0.3">
      <c r="A11" s="4">
        <v>44562</v>
      </c>
      <c r="B11" s="14">
        <v>32899</v>
      </c>
      <c r="C11" s="12">
        <v>1452.6639999999998</v>
      </c>
    </row>
    <row r="12" spans="1:3" x14ac:dyDescent="0.3">
      <c r="A12" s="4">
        <v>44593</v>
      </c>
      <c r="B12" s="14">
        <v>37556</v>
      </c>
      <c r="C12" s="12">
        <v>1846.2939999999996</v>
      </c>
    </row>
    <row r="13" spans="1:3" x14ac:dyDescent="0.3">
      <c r="A13" s="4">
        <v>44621</v>
      </c>
      <c r="B13" s="14">
        <v>60994</v>
      </c>
      <c r="C13" s="12">
        <v>2544.5399999999995</v>
      </c>
    </row>
    <row r="14" spans="1:3" x14ac:dyDescent="0.3">
      <c r="A14" s="4">
        <v>44652</v>
      </c>
      <c r="B14" s="14">
        <v>73989</v>
      </c>
      <c r="C14" s="12">
        <v>3276.7379999999994</v>
      </c>
    </row>
    <row r="15" spans="1:3" x14ac:dyDescent="0.3">
      <c r="A15" s="4">
        <v>44682</v>
      </c>
      <c r="B15" s="14">
        <v>82210</v>
      </c>
      <c r="C15" s="12">
        <v>3585.1880999999994</v>
      </c>
    </row>
    <row r="16" spans="1:3" x14ac:dyDescent="0.3">
      <c r="A16" s="4">
        <v>44713</v>
      </c>
      <c r="B16" s="14">
        <v>83031</v>
      </c>
      <c r="C16" s="12">
        <v>6640.0405000000001</v>
      </c>
    </row>
    <row r="17" spans="1:3" x14ac:dyDescent="0.3">
      <c r="A17" s="4">
        <v>44743</v>
      </c>
      <c r="B17" s="14">
        <v>75497.7</v>
      </c>
      <c r="C17" s="12">
        <v>5176.0351300000002</v>
      </c>
    </row>
    <row r="18" spans="1:3" x14ac:dyDescent="0.3">
      <c r="A18" s="4">
        <v>44774</v>
      </c>
      <c r="B18" s="14">
        <v>66303.100000000006</v>
      </c>
      <c r="C18" s="12">
        <v>4590.1120300000002</v>
      </c>
    </row>
    <row r="19" spans="1:3" x14ac:dyDescent="0.3">
      <c r="A19" s="4">
        <v>44805</v>
      </c>
      <c r="B19" s="14">
        <v>67175.100000000006</v>
      </c>
      <c r="C19" s="12">
        <v>4880.2708000000002</v>
      </c>
    </row>
    <row r="20" spans="1:3" x14ac:dyDescent="0.3">
      <c r="A20" s="4">
        <v>44835</v>
      </c>
      <c r="B20" s="14">
        <v>63572</v>
      </c>
      <c r="C20" s="12">
        <v>2889.8011999999999</v>
      </c>
    </row>
    <row r="21" spans="1:3" x14ac:dyDescent="0.3">
      <c r="A21" s="4">
        <v>44866</v>
      </c>
      <c r="B21" s="14">
        <v>39497.300000000003</v>
      </c>
      <c r="C21" s="12">
        <v>1723.41696</v>
      </c>
    </row>
    <row r="22" spans="1:3" x14ac:dyDescent="0.3">
      <c r="A22" s="4">
        <v>44896</v>
      </c>
      <c r="B22" s="14">
        <v>30863.5</v>
      </c>
      <c r="C22" s="12">
        <v>1346.2833000000001</v>
      </c>
    </row>
    <row r="23" spans="1:3" x14ac:dyDescent="0.3">
      <c r="A23" s="4">
        <v>44927</v>
      </c>
      <c r="B23" s="14">
        <v>35734.600000000006</v>
      </c>
      <c r="C23" s="12">
        <v>1706.5386400000002</v>
      </c>
    </row>
    <row r="24" spans="1:3" x14ac:dyDescent="0.3">
      <c r="A24" s="4">
        <v>44958</v>
      </c>
      <c r="B24" s="14">
        <v>39531</v>
      </c>
      <c r="C24" s="12">
        <v>2025.1536999999998</v>
      </c>
    </row>
    <row r="25" spans="1:3" x14ac:dyDescent="0.3">
      <c r="A25" s="4">
        <v>44986</v>
      </c>
      <c r="B25" s="14">
        <v>62902</v>
      </c>
      <c r="C25" s="12">
        <v>2835.0598000000005</v>
      </c>
    </row>
    <row r="26" spans="1:3" x14ac:dyDescent="0.3">
      <c r="A26" s="4">
        <v>45017</v>
      </c>
      <c r="B26" s="14">
        <v>66783</v>
      </c>
      <c r="C26" s="12">
        <v>2815.8167000000003</v>
      </c>
    </row>
    <row r="27" spans="1:3" x14ac:dyDescent="0.3">
      <c r="A27" s="4">
        <v>45047</v>
      </c>
      <c r="B27" s="14">
        <v>68807</v>
      </c>
      <c r="C27" s="12">
        <v>2696.5263000000004</v>
      </c>
    </row>
    <row r="28" spans="1:3" x14ac:dyDescent="0.3">
      <c r="A28" s="4">
        <v>45078</v>
      </c>
      <c r="B28" s="14">
        <v>69899</v>
      </c>
      <c r="C28" s="12">
        <v>4855.9951000000001</v>
      </c>
    </row>
    <row r="29" spans="1:3" x14ac:dyDescent="0.3">
      <c r="A29" s="4">
        <v>45108</v>
      </c>
      <c r="B29" s="14">
        <v>77982</v>
      </c>
      <c r="C29" s="12">
        <v>6010.9478000000017</v>
      </c>
    </row>
    <row r="30" spans="1:3" x14ac:dyDescent="0.3">
      <c r="A30" s="4">
        <v>45139</v>
      </c>
      <c r="B30" s="14">
        <v>70199</v>
      </c>
      <c r="C30" s="12">
        <v>5653.8651000000009</v>
      </c>
    </row>
    <row r="31" spans="1:3" x14ac:dyDescent="0.3">
      <c r="A31" s="4">
        <v>45170</v>
      </c>
      <c r="B31" s="14">
        <v>59930</v>
      </c>
      <c r="C31" s="12">
        <v>5010.973</v>
      </c>
    </row>
    <row r="32" spans="1:3" x14ac:dyDescent="0.3">
      <c r="A32" s="4">
        <v>45200</v>
      </c>
      <c r="B32" s="14">
        <v>52162</v>
      </c>
      <c r="C32" s="12">
        <v>2607.8118000000004</v>
      </c>
    </row>
    <row r="33" spans="1:3" x14ac:dyDescent="0.3">
      <c r="A33" s="4">
        <v>45231</v>
      </c>
      <c r="B33" s="14">
        <v>38980</v>
      </c>
      <c r="C33" s="12">
        <v>1888.9540000000002</v>
      </c>
    </row>
    <row r="34" spans="1:3" x14ac:dyDescent="0.3">
      <c r="A34" s="4">
        <v>45261</v>
      </c>
      <c r="B34" s="14">
        <v>32963</v>
      </c>
      <c r="C34" s="12">
        <v>1530.4777000000001</v>
      </c>
    </row>
    <row r="35" spans="1:3" x14ac:dyDescent="0.3">
      <c r="A35" s="4">
        <v>45292</v>
      </c>
      <c r="B35" s="14">
        <v>38399</v>
      </c>
      <c r="C35" s="12">
        <v>1731.0531000000003</v>
      </c>
    </row>
    <row r="36" spans="1:3" x14ac:dyDescent="0.3">
      <c r="A36" s="4">
        <v>45323</v>
      </c>
      <c r="B36" s="14">
        <v>44088</v>
      </c>
      <c r="C36" s="12">
        <v>2130.7631999999999</v>
      </c>
    </row>
    <row r="37" spans="1:3" x14ac:dyDescent="0.3">
      <c r="A37" s="4">
        <v>45352</v>
      </c>
      <c r="B37" s="14">
        <v>56501</v>
      </c>
      <c r="C37" s="12">
        <v>2897.7039000000004</v>
      </c>
    </row>
    <row r="38" spans="1:3" x14ac:dyDescent="0.3">
      <c r="A38" s="4">
        <v>45383</v>
      </c>
      <c r="B38" s="14">
        <v>66255</v>
      </c>
      <c r="C38" s="12">
        <v>3369.4117999999999</v>
      </c>
    </row>
    <row r="39" spans="1:3" x14ac:dyDescent="0.3">
      <c r="A39" s="4">
        <v>45413</v>
      </c>
      <c r="B39" s="14">
        <v>69913</v>
      </c>
      <c r="C39" s="12">
        <v>3840.1071999999999</v>
      </c>
    </row>
    <row r="40" spans="1:3" x14ac:dyDescent="0.3">
      <c r="A40" s="4">
        <v>45444</v>
      </c>
      <c r="B40" s="14">
        <v>81383</v>
      </c>
      <c r="C40" s="12">
        <v>7598.8757999999998</v>
      </c>
    </row>
    <row r="41" spans="1:3" x14ac:dyDescent="0.3">
      <c r="A41" s="4">
        <v>45474</v>
      </c>
      <c r="B41" s="14">
        <v>71907</v>
      </c>
      <c r="C41" s="12">
        <v>6571.704099999999</v>
      </c>
    </row>
    <row r="42" spans="1:3" x14ac:dyDescent="0.3">
      <c r="A42" s="4">
        <v>45505</v>
      </c>
      <c r="B42" s="14">
        <v>84733</v>
      </c>
      <c r="C42" s="12">
        <v>7760.2236999999996</v>
      </c>
    </row>
    <row r="43" spans="1:3" x14ac:dyDescent="0.3">
      <c r="A43" s="4">
        <v>45536</v>
      </c>
      <c r="B43" s="14">
        <v>53062</v>
      </c>
      <c r="C43" s="12">
        <v>4622.9669000000004</v>
      </c>
    </row>
    <row r="44" spans="1:3" x14ac:dyDescent="0.3">
      <c r="A44" s="4">
        <v>45566</v>
      </c>
      <c r="B44" s="14">
        <v>63385</v>
      </c>
      <c r="C44" s="12">
        <v>3311.9699000000001</v>
      </c>
    </row>
    <row r="45" spans="1:3" x14ac:dyDescent="0.3">
      <c r="A45" s="4">
        <v>45597</v>
      </c>
      <c r="B45" s="14">
        <v>35719</v>
      </c>
      <c r="C45" s="12">
        <v>1840.0636000000002</v>
      </c>
    </row>
    <row r="46" spans="1:3" x14ac:dyDescent="0.3">
      <c r="A46" s="4">
        <v>45627</v>
      </c>
      <c r="B46" s="14">
        <v>38110</v>
      </c>
      <c r="C46" s="12">
        <v>1889.8449999999998</v>
      </c>
    </row>
    <row r="47" spans="1:3" x14ac:dyDescent="0.3">
      <c r="A47" s="4">
        <v>45658</v>
      </c>
      <c r="B47" s="14">
        <v>40082</v>
      </c>
      <c r="C47" s="12">
        <v>2024.7928000000002</v>
      </c>
    </row>
    <row r="48" spans="1:3" x14ac:dyDescent="0.3">
      <c r="A48" s="4">
        <v>45689</v>
      </c>
      <c r="B48" s="14">
        <v>46384</v>
      </c>
      <c r="C48" s="12">
        <v>2643.9245999999998</v>
      </c>
    </row>
    <row r="49" spans="1:3" x14ac:dyDescent="0.3">
      <c r="A49" s="4">
        <v>45717</v>
      </c>
      <c r="B49" s="14">
        <v>66747</v>
      </c>
      <c r="C49" s="12">
        <v>3924.8585999999996</v>
      </c>
    </row>
    <row r="50" spans="1:3" x14ac:dyDescent="0.3">
      <c r="A50" s="4">
        <v>45748</v>
      </c>
      <c r="B50" s="14">
        <v>68087</v>
      </c>
      <c r="C50" s="12">
        <v>3905.3735999999994</v>
      </c>
    </row>
    <row r="51" spans="1:3" x14ac:dyDescent="0.3">
      <c r="A51" s="4">
        <v>45778</v>
      </c>
      <c r="B51" s="14">
        <v>74706</v>
      </c>
      <c r="C51" s="12">
        <v>3836.4905000000003</v>
      </c>
    </row>
    <row r="52" spans="1:3" x14ac:dyDescent="0.3">
      <c r="A52" s="4">
        <v>45809</v>
      </c>
      <c r="B52" s="14">
        <v>169480</v>
      </c>
      <c r="C52" s="12">
        <v>10769.572300000003</v>
      </c>
    </row>
    <row r="53" spans="1:3" x14ac:dyDescent="0.3">
      <c r="A53" s="4">
        <v>45839</v>
      </c>
      <c r="B53" s="14">
        <v>237056</v>
      </c>
      <c r="C53" s="12">
        <v>13286.188299999998</v>
      </c>
    </row>
    <row r="54" spans="1:3" x14ac:dyDescent="0.3">
      <c r="A54" s="4">
        <v>45870</v>
      </c>
      <c r="B54" s="14">
        <v>212303</v>
      </c>
      <c r="C54" s="12">
        <v>12118.083499999999</v>
      </c>
    </row>
    <row r="55" spans="1:3" x14ac:dyDescent="0.3">
      <c r="A55" s="4">
        <v>45901</v>
      </c>
      <c r="B55" s="14">
        <v>250916</v>
      </c>
      <c r="C55" s="12">
        <v>13950.5437</v>
      </c>
    </row>
    <row r="56" spans="1:3" x14ac:dyDescent="0.3">
      <c r="A56" s="4">
        <v>45931</v>
      </c>
      <c r="B56" s="14">
        <v>229713</v>
      </c>
      <c r="C56" s="12">
        <v>11487.6774</v>
      </c>
    </row>
    <row r="57" spans="1:3" x14ac:dyDescent="0.3">
      <c r="A57" s="4">
        <v>45962</v>
      </c>
      <c r="B57" s="14">
        <v>212828</v>
      </c>
      <c r="C57" s="12">
        <v>11440.042899999997</v>
      </c>
    </row>
    <row r="58" spans="1:3" x14ac:dyDescent="0.3">
      <c r="A58" s="4">
        <v>45992</v>
      </c>
      <c r="B58" s="14">
        <v>181659</v>
      </c>
      <c r="C58" s="12">
        <v>8162.8994999999977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kWh</vt:lpstr>
      <vt:lpstr>Elec Rates</vt:lpstr>
      <vt:lpstr>CS Rates</vt:lpstr>
      <vt:lpstr>Savings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Lavender, Jessica</dc:creator>
  <cp:lastModifiedBy>Lavender, Jessica</cp:lastModifiedBy>
  <dcterms:created xsi:type="dcterms:W3CDTF">2015-06-05T18:17:20Z</dcterms:created>
  <dcterms:modified xsi:type="dcterms:W3CDTF">2026-07-24T18:17:42Z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2025-03-25T12:28:44Z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2fc17752-f580-4606-8826-f097d2099378</vt:lpwstr>
  </property>
  <property fmtid="{D5CDD505-2E9C-101B-9397-08002B2CF9AE}" pid="8" name="MSIP_Label_240b7f93-610a-4011-b6fb-0ddb6ccad5b5_ContentBits">
    <vt:lpwstr>0</vt:lpwstr>
  </property>
</Properties>
</file>